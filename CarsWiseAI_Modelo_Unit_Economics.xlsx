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puestos" sheetId="1" state="visible" r:id="rId3"/>
    <sheet name="Por canal" sheetId="2" state="visible" r:id="rId4"/>
    <sheet name="Viabilidad" sheetId="3" state="visible" r:id="rId5"/>
    <sheet name="LTV cliente" sheetId="4" state="visible" r:id="rId6"/>
    <sheet name="Necesidad de capital" sheetId="5" state="visible" r:id="rId7"/>
    <sheet name="Agentes IA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8" authorId="0">
      <text>
        <r>
          <rPr>
            <sz val="10"/>
            <rFont val="Arial"/>
            <family val="2"/>
          </rPr>
          <t xml:space="preserve">Coste esperado de garantia = peritacion (fila 17, siempre) + %siniestralidad (fila 19) x forfait (fila 18). Si el coche esta bien (80%), el forfait queda como margen.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6" authorId="0">
      <text>
        <r>
          <rPr>
            <sz val="10"/>
            <rFont val="Arial"/>
            <family val="2"/>
          </rPr>
          <t xml:space="preserve">8% del importe por derivar al cliente a tu red.</t>
        </r>
      </text>
    </comment>
  </commentList>
</comments>
</file>

<file path=xl/sharedStrings.xml><?xml version="1.0" encoding="utf-8"?>
<sst xmlns="http://schemas.openxmlformats.org/spreadsheetml/2006/main" count="254" uniqueCount="208">
  <si>
    <t xml:space="preserve">CarsWiseAI — Modelo de unit economics multicanal</t>
  </si>
  <si>
    <t xml:space="preserve">Azul = input editable. Amarillo = placeholder a validar. Negro = fórmula. Verde = enlace entre hojas.</t>
  </si>
  <si>
    <t xml:space="preserve">Parámetro por canal</t>
  </si>
  <si>
    <t xml:space="preserve">C2C propio</t>
  </si>
  <si>
    <t xml:space="preserve">Feed dealer</t>
  </si>
  <si>
    <t xml:space="preserve">Importación</t>
  </si>
  <si>
    <t xml:space="preserve">Renting B2B</t>
  </si>
  <si>
    <t xml:space="preserve">Renting B2C</t>
  </si>
  <si>
    <t xml:space="preserve">Nota / origen</t>
  </si>
  <si>
    <t xml:space="preserve">Ticket medio del coche (€)</t>
  </si>
  <si>
    <t xml:space="preserve">Placeholder por canal</t>
  </si>
  <si>
    <t xml:space="preserve">Volumen transacciones / mes</t>
  </si>
  <si>
    <t xml:space="preserve">PLACEHOLDER — a validar</t>
  </si>
  <si>
    <t xml:space="preserve">— INGRESOS —</t>
  </si>
  <si>
    <t xml:space="preserve">Fee inicio servicio (€)</t>
  </si>
  <si>
    <t xml:space="preserve">Tu dato (150+150)</t>
  </si>
  <si>
    <t xml:space="preserve">Fee cierre servicio (€)</t>
  </si>
  <si>
    <t xml:space="preserve">Tu dato</t>
  </si>
  <si>
    <t xml:space="preserve">% que cierra y tramita contigo</t>
  </si>
  <si>
    <t xml:space="preserve">Placeholder (C2C)</t>
  </si>
  <si>
    <t xml:space="preserve">Margen sobre precio del coche (%)</t>
  </si>
  <si>
    <t xml:space="preserve">Lead fee / prescripción (€)</t>
  </si>
  <si>
    <t xml:space="preserve">Tu dato (150-200)</t>
  </si>
  <si>
    <t xml:space="preserve">Attach financiación (%)</t>
  </si>
  <si>
    <t xml:space="preserve">PLACEHOLDER (B2B=0)</t>
  </si>
  <si>
    <t xml:space="preserve">Attach garantía al comprador (%)</t>
  </si>
  <si>
    <t xml:space="preserve">Dealer=0 (la da el dealer)</t>
  </si>
  <si>
    <t xml:space="preserve">— COSTES —</t>
  </si>
  <si>
    <t xml:space="preserve">Coste de servir / transacción (€)</t>
  </si>
  <si>
    <t xml:space="preserve">C2C sin inspección; B2B/B2C en personal</t>
  </si>
  <si>
    <t xml:space="preserve">Peritación / verificación garantía (€)</t>
  </si>
  <si>
    <t xml:space="preserve">Coste siempre (B2C)</t>
  </si>
  <si>
    <t xml:space="preserve">Forfait reparación si siniestro (€)</t>
  </si>
  <si>
    <t xml:space="preserve">Tu dato (600)</t>
  </si>
  <si>
    <t xml:space="preserve">% siniestralidad (usa el forfait)</t>
  </si>
  <si>
    <t xml:space="preserve">Tu dato (≈20%)</t>
  </si>
  <si>
    <t xml:space="preserve">CAC por transacción (€)</t>
  </si>
  <si>
    <t xml:space="preserve">C2C=portal; dealer/B2B en fijos</t>
  </si>
  <si>
    <t xml:space="preserve">Parámetros transversales</t>
  </si>
  <si>
    <t xml:space="preserve">Comisión financiación (% s/ importe financiado)</t>
  </si>
  <si>
    <t xml:space="preserve">Tu dato (7-8%)</t>
  </si>
  <si>
    <t xml:space="preserve">% del precio del coche que se financia</t>
  </si>
  <si>
    <t xml:space="preserve">Placeholder</t>
  </si>
  <si>
    <t xml:space="preserve">Comisión por garantía vendida al comprador (€)</t>
  </si>
  <si>
    <t xml:space="preserve">Mantener</t>
  </si>
  <si>
    <t xml:space="preserve">Prima media de seguro (€)</t>
  </si>
  <si>
    <t xml:space="preserve">Tu dato · usado en hoja LTV</t>
  </si>
  <si>
    <t xml:space="preserve">% comisión sobre prima de seguro</t>
  </si>
  <si>
    <t xml:space="preserve">Tu dato (mín. 8%) · LTV</t>
  </si>
  <si>
    <t xml:space="preserve">Costes fijos mensuales (€)</t>
  </si>
  <si>
    <t xml:space="preserve">Equipo (salarios + SS)</t>
  </si>
  <si>
    <t xml:space="preserve">PLACEHOLDER</t>
  </si>
  <si>
    <t xml:space="preserve">Plataforma, hosting y software</t>
  </si>
  <si>
    <t xml:space="preserve">Legal, compliance y asesoría</t>
  </si>
  <si>
    <t xml:space="preserve">Oficina y administración</t>
  </si>
  <si>
    <t xml:space="preserve">Marca / marketing fijo (no CAC)</t>
  </si>
  <si>
    <t xml:space="preserve">TOTAL costes fijos mensuales</t>
  </si>
  <si>
    <t xml:space="preserve">Contribución por canal (transaccional, por unidad y mensual)</t>
  </si>
  <si>
    <t xml:space="preserve">Métrica</t>
  </si>
  <si>
    <t xml:space="preserve">TOTAL</t>
  </si>
  <si>
    <t xml:space="preserve">INGRESO POR UNIDAD</t>
  </si>
  <si>
    <t xml:space="preserve">Fee de servicio</t>
  </si>
  <si>
    <t xml:space="preserve">Margen sobre el coche</t>
  </si>
  <si>
    <t xml:space="preserve">Lead fee / prescripción</t>
  </si>
  <si>
    <t xml:space="preserve">Comisión financiación</t>
  </si>
  <si>
    <t xml:space="preserve">Comisión garantía (ingreso)</t>
  </si>
  <si>
    <t xml:space="preserve">Ingreso total / unidad</t>
  </si>
  <si>
    <t xml:space="preserve">COSTE POR UNIDAD</t>
  </si>
  <si>
    <t xml:space="preserve">Coste de servir</t>
  </si>
  <si>
    <t xml:space="preserve">Coste garantía esperado</t>
  </si>
  <si>
    <t xml:space="preserve">Coste total / unidad</t>
  </si>
  <si>
    <t xml:space="preserve">CONTRIBUCIÓN / UNIDAD</t>
  </si>
  <si>
    <t xml:space="preserve">CAC / unidad</t>
  </si>
  <si>
    <t xml:space="preserve">Contribución neta / unidad (tras CAC)</t>
  </si>
  <si>
    <t xml:space="preserve">Volumen / mes</t>
  </si>
  <si>
    <t xml:space="preserve">CONTRIBUCIÓN MENSUAL (tras CAC)</t>
  </si>
  <si>
    <t xml:space="preserve">Ingreso mensual</t>
  </si>
  <si>
    <t xml:space="preserve">Viabilidad — P&amp;L mensual y punto de equilibrio</t>
  </si>
  <si>
    <t xml:space="preserve">Foto mensual (a volumen base)</t>
  </si>
  <si>
    <t xml:space="preserve">Ingreso mensual total</t>
  </si>
  <si>
    <t xml:space="preserve">Contribución mensual total (tras CAC, antes de fijos)</t>
  </si>
  <si>
    <t xml:space="preserve">Costes fijos mensuales</t>
  </si>
  <si>
    <t xml:space="preserve">EBITDA mensual</t>
  </si>
  <si>
    <t xml:space="preserve">Transacciones / mes</t>
  </si>
  <si>
    <t xml:space="preserve">Contribución media / transacción (tras CAC)</t>
  </si>
  <si>
    <t xml:space="preserve">Break-even: transacciones/mes para cubrir fijos</t>
  </si>
  <si>
    <t xml:space="preserve">Holgura sobre break-even (transacciones)</t>
  </si>
  <si>
    <t xml:space="preserve">Rampa 12 meses (crecimiento de volumen hacia base)</t>
  </si>
  <si>
    <t xml:space="preserve">Arranque mes 1 (% del volumen base)</t>
  </si>
  <si>
    <t xml:space="preserve">Crecimiento mensual del volumen</t>
  </si>
  <si>
    <t xml:space="preserve">Mes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</si>
  <si>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</si>
  <si>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</si>
  <si>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</si>
  <si>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</si>
  <si>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</si>
  <si>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</si>
  <si>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</si>
  <si>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</si>
  <si>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</si>
  <si>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</si>
  <si>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</si>
  <si>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</si>
  <si>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% del volumen base</t>
  </si>
  <si>
    <t xml:space="preserve">Contribución (tras CAC)</t>
  </si>
  <si>
    <t xml:space="preserve">Costes fijos</t>
  </si>
  <si>
    <t xml:space="preserve">EBITDA acumulado</t>
  </si>
  <si>
    <t xml:space="preserve">Valor del cliente a lo largo de su vida (LTV) — por cliente captado</t>
  </si>
  <si>
    <t xml:space="preserve">Ingresos recurrentes (cartera) que la vista transaccional no ve. Todo ponderado por attach: por CLIENTE CAPTADO, no por contratante.</t>
  </si>
  <si>
    <t xml:space="preserve">Supuestos de cartera</t>
  </si>
  <si>
    <t xml:space="preserve">Horizonte de propiedad (años)</t>
  </si>
  <si>
    <t xml:space="preserve">Tasa de descuento anual</t>
  </si>
  <si>
    <t xml:space="preserve">Renovación anual del seguro</t>
  </si>
  <si>
    <t xml:space="preserve">PLACEHOLDER — clave</t>
  </si>
  <si>
    <t xml:space="preserve">Retención anual de la relación (garaje activo)</t>
  </si>
  <si>
    <t xml:space="preserve">Probabilidad de recompra al final del horizonte</t>
  </si>
  <si>
    <t xml:space="preserve">Contribución de la recompra (€)</t>
  </si>
  <si>
    <t xml:space="preserve">≈ contrib. neta C2C</t>
  </si>
  <si>
    <t xml:space="preserve">Productos de relación — margen esperado por cliente CAPTADO</t>
  </si>
  <si>
    <t xml:space="preserve">Producto</t>
  </si>
  <si>
    <t xml:space="preserve">Importe medio (€)</t>
  </si>
  <si>
    <t xml:space="preserve">% comisión</t>
  </si>
  <si>
    <t xml:space="preserve">Attach (%)</t>
  </si>
  <si>
    <t xml:space="preserve">Margen año 1 (€)</t>
  </si>
  <si>
    <t xml:space="preserve">Seguro (cartera)</t>
  </si>
  <si>
    <t xml:space="preserve">Mantenimiento + neumáticos / año</t>
  </si>
  <si>
    <t xml:space="preserve">ITV (cada 2 años)</t>
  </si>
  <si>
    <t xml:space="preserve">Flujo recurrente por año (por cliente captado)</t>
  </si>
  <si>
    <t xml:space="preserve">Año</t>
  </si>
  <si>
    <t xml:space="preserve">Seguro</t>
  </si>
  <si>
    <t xml:space="preserve">Mantenimiento + neumáticos</t>
  </si>
  <si>
    <t xml:space="preserve">ITV</t>
  </si>
  <si>
    <t xml:space="preserve">Flujo anual</t>
  </si>
  <si>
    <t xml:space="preserve">Factor de descuento</t>
  </si>
  <si>
    <t xml:space="preserve">Flujo descontado</t>
  </si>
  <si>
    <t xml:space="preserve">Resultado</t>
  </si>
  <si>
    <t xml:space="preserve">VAN flujos recurrentes (seguro + mantenim. + ITV)</t>
  </si>
  <si>
    <t xml:space="preserve">+ Recompra descontada (al final del horizonte)</t>
  </si>
  <si>
    <t xml:space="preserve">LTV por cliente captado (VAN)</t>
  </si>
  <si>
    <t xml:space="preserve">Solo la cola recurrente; encima va la contribución transaccional (hoja Por canal).</t>
  </si>
  <si>
    <t xml:space="preserve">CAC de referencia (C2C)</t>
  </si>
  <si>
    <t xml:space="preserve">Ratio LTV recurrente / CAC</t>
  </si>
  <si>
    <t xml:space="preserve">Necesidad de capital — rampa hasta break-even y dilución</t>
  </si>
  <si>
    <t xml:space="preserve">3 meses de arranque sin ventas (solo costes), primera venta el mes 4 y ~57/mes en el mes 18. Capital = caja más negativa.</t>
  </si>
  <si>
    <t xml:space="preserve">Supuestos de la ronda</t>
  </si>
  <si>
    <t xml:space="preserve">Meses de arranque sin ventas (solo costes)</t>
  </si>
  <si>
    <t xml:space="preserve">Arranque al empezar a vender (uds/mes)</t>
  </si>
  <si>
    <t xml:space="preserve">Para llegar a 57/mes en mes 18</t>
  </si>
  <si>
    <t xml:space="preserve">Contribución media / transacción (€)</t>
  </si>
  <si>
    <t xml:space="preserve">Enlace</t>
  </si>
  <si>
    <t xml:space="preserve">Break-even (unidades/mes)</t>
  </si>
  <si>
    <t xml:space="preserve">Fórmula</t>
  </si>
  <si>
    <t xml:space="preserve">Colchón de seguridad (% sobre quema)</t>
  </si>
  <si>
    <t xml:space="preserve">Rampa mensual (24 meses)</t>
  </si>
  <si>
    <t xml:space="preserve">Unidades / mes</t>
  </si>
  <si>
    <t xml:space="preserve">Contribución</t>
  </si>
  <si>
    <t xml:space="preserve">Caja acumulada</t>
  </si>
  <si>
    <t xml:space="preserve">Mes en que se alcanza el break-even (57/mes)</t>
  </si>
  <si>
    <t xml:space="preserve">Capital mínimo (caja más negativa)</t>
  </si>
  <si>
    <t xml:space="preserve">Capital recomendado (con colchón)</t>
  </si>
  <si>
    <t xml:space="preserve">Dilución según valoración pre-money</t>
  </si>
  <si>
    <t xml:space="preserve">Escenario</t>
  </si>
  <si>
    <t xml:space="preserve">Pre-money (€)</t>
  </si>
  <si>
    <t xml:space="preserve">Capital (€)</t>
  </si>
  <si>
    <t xml:space="preserve">Post-money (€)</t>
  </si>
  <si>
    <t xml:space="preserve">% vendido</t>
  </si>
  <si>
    <t xml:space="preserve">Conservador</t>
  </si>
  <si>
    <t xml:space="preserve">Base</t>
  </si>
  <si>
    <t xml:space="preserve">Optimista</t>
  </si>
  <si>
    <t xml:space="preserve">Agentes e IA en el proceso — impacto en escalabilidad</t>
  </si>
  <si>
    <t xml:space="preserve">La IA no es un adorno: mantiene plano el coste de servir y los fijos mientras crece el volumen. Eso es lo que hace escalable el núcleo.</t>
  </si>
  <si>
    <t xml:space="preserve">Proceso / línea</t>
  </si>
  <si>
    <t xml:space="preserve">Caso de uso (agente o modelo)</t>
  </si>
  <si>
    <t xml:space="preserve">Tipo</t>
  </si>
  <si>
    <t xml:space="preserve">Palanca en el modelo</t>
  </si>
  <si>
    <t xml:space="preserve">Escalab.</t>
  </si>
  <si>
    <t xml:space="preserve">Compra / recomendador</t>
  </si>
  <si>
    <t xml:space="preserve">Asesor conversacional que saca al comprador de la indecisión y recomienda el coche óptimo sobre tu inventario</t>
  </si>
  <si>
    <t xml:space="preserve">Agente</t>
  </si>
  <si>
    <t xml:space="preserve">Conversión↑ · CAC↓ · top de funnel</t>
  </si>
  <si>
    <t xml:space="preserve">Alta</t>
  </si>
  <si>
    <t xml:space="preserve">Venta C2C</t>
  </si>
  <si>
    <t xml:space="preserve">Tasación algorítmica con datos propietarios del garaje</t>
  </si>
  <si>
    <t xml:space="preserve">Modelo</t>
  </si>
  <si>
    <t xml:space="preserve">Producto + moat de datos</t>
  </si>
  <si>
    <t xml:space="preserve">Generación de anuncios y mejora de fotos por portal</t>
  </si>
  <si>
    <t xml:space="preserve">Generativo</t>
  </si>
  <si>
    <t xml:space="preserve">Coste de servir C2C↓</t>
  </si>
  <si>
    <t xml:space="preserve">Filtro/cualificación de leads + agenda automática (Calendly)</t>
  </si>
  <si>
    <t xml:space="preserve">Coste de servir C2C↓ (automatiza el filtro)</t>
  </si>
  <si>
    <t xml:space="preserve">Financiación</t>
  </si>
  <si>
    <t xml:space="preserve">Matching multi-financiera y pre-cualificación del comprador</t>
  </si>
  <si>
    <t xml:space="preserve">Agente*</t>
  </si>
  <si>
    <t xml:space="preserve">Attach financiación↑ · conversión↑</t>
  </si>
  <si>
    <t xml:space="preserve">Media</t>
  </si>
  <si>
    <t xml:space="preserve">Garaje digital</t>
  </si>
  <si>
    <t xml:space="preserve">OCR/visión de ITV, facturas y ficha técnica → autocompletar la ficha</t>
  </si>
  <si>
    <t xml:space="preserve">Modelo visión</t>
  </si>
  <si>
    <t xml:space="preserve">Coste de servir↓ · calidad de dato (moat)</t>
  </si>
  <si>
    <t xml:space="preserve">Asistente proactivo de mantenimiento/ITV que ofrece la derivación al taller</t>
  </si>
  <si>
    <t xml:space="preserve">Attach productos de relación↑ (LTV↑)</t>
  </si>
  <si>
    <t xml:space="preserve">Rastreo de listados en origen + cálculo de coste aterrizado (IEDMT) automático</t>
  </si>
  <si>
    <t xml:space="preserve">Coste de servir importación↓ · sourcing</t>
  </si>
  <si>
    <t xml:space="preserve">Soporte / back-office</t>
  </si>
  <si>
    <t xml:space="preserve">Asistente de soporte + automatización de facturación y documentación</t>
  </si>
  <si>
    <t xml:space="preserve">Costes fijos↓ · escalabilidad</t>
  </si>
  <si>
    <t xml:space="preserve">* Línea roja: los agentes de financiación y seguros pueden pre-cualificar y comparar, pero el consejo y la decisión regulada exigen guardarraíles y humano en el bucle (crédito al consumo / DGSFP).</t>
  </si>
  <si>
    <t xml:space="preserve">Efecto neto: cada palanca "↓ coste de servir" o "↓ fijos" desplaza el break-even a la baja; cada "↑ attach" sube el LTV. La IA es lo que separa la curva de costes de la curva de volumen.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</si>
</sst>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&quot; €&quot;;\(#,##0&quot;) €&quot;;\-"/>
    <numFmt numFmtId="166" formatCode="#,##0;\(#,##0\);\-"/>
    <numFmt numFmtId="167" formatCode="0.0%"/>
    <numFmt numFmtId="168" formatCode="#,##0.0&quot; €&quot;;\(#,##0.0&quot;) €&quot;;\-"/>
    <numFmt numFmtId="169" formatCode="0.000"/>
    <numFmt numFmtId="170" formatCode="0.0\x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F172A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8"/>
      <color rgb="FF888888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2"/>
    </font>
    <font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F172A"/>
        <bgColor rgb="FF000000"/>
      </patternFill>
    </fill>
    <fill>
      <patternFill patternType="solid">
        <fgColor rgb="FFFFF2CC"/>
        <bgColor rgb="FFE2EFDA"/>
      </patternFill>
    </fill>
    <fill>
      <patternFill patternType="solid">
        <fgColor rgb="FFD9E1F2"/>
        <bgColor rgb="FFE2EFDA"/>
      </patternFill>
    </fill>
    <fill>
      <patternFill patternType="solid">
        <fgColor rgb="FFE2EFDA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88888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F172A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6" min="2" style="0" width="13"/>
    <col collapsed="false" customWidth="true" hidden="false" outlineLevel="0" max="7" min="7" style="0" width="2"/>
    <col collapsed="false" customWidth="true" hidden="false" outlineLevel="0" max="8" min="8" style="0" width="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H4" s="3" t="s">
        <v>8</v>
      </c>
    </row>
    <row r="5" customFormat="false" ht="15" hidden="false" customHeight="false" outlineLevel="0" collapsed="false">
      <c r="A5" s="4" t="s">
        <v>9</v>
      </c>
      <c r="B5" s="5" t="n">
        <v>10000</v>
      </c>
      <c r="C5" s="5" t="n">
        <v>15000</v>
      </c>
      <c r="D5" s="5" t="n">
        <v>22000</v>
      </c>
      <c r="E5" s="5" t="n">
        <v>12500</v>
      </c>
      <c r="F5" s="5" t="n">
        <v>12500</v>
      </c>
      <c r="H5" s="6" t="s">
        <v>10</v>
      </c>
    </row>
    <row r="6" customFormat="false" ht="15" hidden="false" customHeight="false" outlineLevel="0" collapsed="false">
      <c r="A6" s="4" t="s">
        <v>11</v>
      </c>
      <c r="B6" s="7" t="n">
        <v>30</v>
      </c>
      <c r="C6" s="7" t="n">
        <v>100</v>
      </c>
      <c r="D6" s="7" t="n">
        <v>5</v>
      </c>
      <c r="E6" s="7" t="n">
        <v>20</v>
      </c>
      <c r="F6" s="7" t="n">
        <v>10</v>
      </c>
      <c r="H6" s="6" t="s">
        <v>12</v>
      </c>
    </row>
    <row r="7" customFormat="false" ht="15" hidden="false" customHeight="false" outlineLevel="0" collapsed="false">
      <c r="A7" s="8" t="s">
        <v>13</v>
      </c>
      <c r="B7" s="9"/>
      <c r="C7" s="9"/>
      <c r="D7" s="9"/>
      <c r="E7" s="9"/>
      <c r="F7" s="9"/>
      <c r="H7" s="9"/>
    </row>
    <row r="8" customFormat="false" ht="15" hidden="false" customHeight="false" outlineLevel="0" collapsed="false">
      <c r="A8" s="4" t="s">
        <v>14</v>
      </c>
      <c r="B8" s="5" t="n">
        <v>150</v>
      </c>
      <c r="C8" s="5" t="n">
        <v>0</v>
      </c>
      <c r="D8" s="5" t="n">
        <v>0</v>
      </c>
      <c r="E8" s="5" t="n">
        <v>0</v>
      </c>
      <c r="F8" s="5" t="n">
        <v>0</v>
      </c>
      <c r="H8" s="6" t="s">
        <v>15</v>
      </c>
    </row>
    <row r="9" customFormat="false" ht="15" hidden="false" customHeight="false" outlineLevel="0" collapsed="false">
      <c r="A9" s="4" t="s">
        <v>16</v>
      </c>
      <c r="B9" s="5" t="n">
        <v>150</v>
      </c>
      <c r="C9" s="5" t="n">
        <v>0</v>
      </c>
      <c r="D9" s="5" t="n">
        <v>0</v>
      </c>
      <c r="E9" s="5" t="n">
        <v>0</v>
      </c>
      <c r="F9" s="5" t="n">
        <v>0</v>
      </c>
      <c r="H9" s="6" t="s">
        <v>17</v>
      </c>
    </row>
    <row r="10" customFormat="false" ht="15" hidden="false" customHeight="false" outlineLevel="0" collapsed="false">
      <c r="A10" s="4" t="s">
        <v>18</v>
      </c>
      <c r="B10" s="10" t="n">
        <v>0.7</v>
      </c>
      <c r="C10" s="10" t="n">
        <v>1</v>
      </c>
      <c r="D10" s="10" t="n">
        <v>1</v>
      </c>
      <c r="E10" s="10" t="n">
        <v>1</v>
      </c>
      <c r="F10" s="10" t="n">
        <v>1</v>
      </c>
      <c r="H10" s="6" t="s">
        <v>19</v>
      </c>
    </row>
    <row r="11" customFormat="false" ht="15" hidden="false" customHeight="false" outlineLevel="0" collapsed="false">
      <c r="A11" s="4" t="s">
        <v>20</v>
      </c>
      <c r="B11" s="10" t="n">
        <v>0</v>
      </c>
      <c r="C11" s="10" t="n">
        <v>0</v>
      </c>
      <c r="D11" s="10" t="n">
        <v>0.1</v>
      </c>
      <c r="E11" s="10" t="n">
        <v>0.035</v>
      </c>
      <c r="F11" s="10" t="n">
        <v>0.08</v>
      </c>
      <c r="H11" s="6" t="s">
        <v>17</v>
      </c>
    </row>
    <row r="12" customFormat="false" ht="15" hidden="false" customHeight="false" outlineLevel="0" collapsed="false">
      <c r="A12" s="4" t="s">
        <v>21</v>
      </c>
      <c r="B12" s="5" t="n">
        <v>0</v>
      </c>
      <c r="C12" s="5" t="n">
        <v>175</v>
      </c>
      <c r="D12" s="5" t="n">
        <v>0</v>
      </c>
      <c r="E12" s="5" t="n">
        <v>0</v>
      </c>
      <c r="F12" s="5" t="n">
        <v>0</v>
      </c>
      <c r="H12" s="6" t="s">
        <v>22</v>
      </c>
    </row>
    <row r="13" customFormat="false" ht="15" hidden="false" customHeight="false" outlineLevel="0" collapsed="false">
      <c r="A13" s="4" t="s">
        <v>23</v>
      </c>
      <c r="B13" s="11" t="n">
        <v>0.4</v>
      </c>
      <c r="C13" s="11" t="n">
        <v>0.2</v>
      </c>
      <c r="D13" s="11" t="n">
        <v>0.4</v>
      </c>
      <c r="E13" s="11" t="n">
        <v>0</v>
      </c>
      <c r="F13" s="11" t="n">
        <v>0.4</v>
      </c>
      <c r="H13" s="6" t="s">
        <v>24</v>
      </c>
    </row>
    <row r="14" customFormat="false" ht="15" hidden="false" customHeight="false" outlineLevel="0" collapsed="false">
      <c r="A14" s="4" t="s">
        <v>25</v>
      </c>
      <c r="B14" s="10" t="n">
        <v>0.3</v>
      </c>
      <c r="C14" s="10" t="n">
        <v>0</v>
      </c>
      <c r="D14" s="10" t="n">
        <v>0</v>
      </c>
      <c r="E14" s="10" t="n">
        <v>0</v>
      </c>
      <c r="F14" s="10" t="n">
        <v>0</v>
      </c>
      <c r="H14" s="6" t="s">
        <v>26</v>
      </c>
    </row>
    <row r="15" customFormat="false" ht="15" hidden="false" customHeight="false" outlineLevel="0" collapsed="false">
      <c r="A15" s="8" t="s">
        <v>27</v>
      </c>
      <c r="B15" s="9"/>
      <c r="C15" s="9"/>
      <c r="D15" s="9"/>
      <c r="E15" s="9"/>
      <c r="F15" s="9"/>
      <c r="H15" s="9"/>
    </row>
    <row r="16" customFormat="false" ht="15" hidden="false" customHeight="false" outlineLevel="0" collapsed="false">
      <c r="A16" s="4" t="s">
        <v>28</v>
      </c>
      <c r="B16" s="5" t="n">
        <v>45</v>
      </c>
      <c r="C16" s="5" t="n">
        <v>10</v>
      </c>
      <c r="D16" s="5" t="n">
        <v>350</v>
      </c>
      <c r="E16" s="5" t="n">
        <v>0</v>
      </c>
      <c r="F16" s="5" t="n">
        <v>0</v>
      </c>
      <c r="H16" s="6" t="s">
        <v>29</v>
      </c>
    </row>
    <row r="17" customFormat="false" ht="15" hidden="false" customHeight="false" outlineLevel="0" collapsed="false">
      <c r="A17" s="4" t="s">
        <v>30</v>
      </c>
      <c r="B17" s="5" t="n">
        <v>0</v>
      </c>
      <c r="C17" s="5" t="n">
        <v>0</v>
      </c>
      <c r="D17" s="5" t="n">
        <v>200</v>
      </c>
      <c r="E17" s="5" t="n">
        <v>0</v>
      </c>
      <c r="F17" s="5" t="n">
        <v>200</v>
      </c>
      <c r="H17" s="6" t="s">
        <v>31</v>
      </c>
    </row>
    <row r="18" customFormat="false" ht="15" hidden="false" customHeight="false" outlineLevel="0" collapsed="false">
      <c r="A18" s="4" t="s">
        <v>32</v>
      </c>
      <c r="B18" s="5" t="n">
        <v>0</v>
      </c>
      <c r="C18" s="5" t="n">
        <v>0</v>
      </c>
      <c r="D18" s="5" t="n">
        <v>600</v>
      </c>
      <c r="E18" s="5" t="n">
        <v>0</v>
      </c>
      <c r="F18" s="5" t="n">
        <v>600</v>
      </c>
      <c r="H18" s="6" t="s">
        <v>33</v>
      </c>
    </row>
    <row r="19" customFormat="false" ht="15" hidden="false" customHeight="false" outlineLevel="0" collapsed="false">
      <c r="A19" s="4" t="s">
        <v>34</v>
      </c>
      <c r="B19" s="10" t="n">
        <v>0</v>
      </c>
      <c r="C19" s="10" t="n">
        <v>0</v>
      </c>
      <c r="D19" s="10" t="n">
        <v>0.2</v>
      </c>
      <c r="E19" s="10" t="n">
        <v>0</v>
      </c>
      <c r="F19" s="10" t="n">
        <v>0.2</v>
      </c>
      <c r="H19" s="6" t="s">
        <v>35</v>
      </c>
    </row>
    <row r="20" customFormat="false" ht="15" hidden="false" customHeight="false" outlineLevel="0" collapsed="false">
      <c r="A20" s="4" t="s">
        <v>36</v>
      </c>
      <c r="B20" s="5" t="n">
        <v>90</v>
      </c>
      <c r="C20" s="5" t="n">
        <v>0</v>
      </c>
      <c r="D20" s="5" t="n">
        <v>200</v>
      </c>
      <c r="E20" s="5" t="n">
        <v>0</v>
      </c>
      <c r="F20" s="5" t="n">
        <v>150</v>
      </c>
      <c r="H20" s="6" t="s">
        <v>37</v>
      </c>
    </row>
    <row r="22" customFormat="false" ht="15" hidden="false" customHeight="false" outlineLevel="0" collapsed="false">
      <c r="A22" s="12" t="s">
        <v>38</v>
      </c>
      <c r="B22" s="13"/>
      <c r="C22" s="14"/>
    </row>
    <row r="23" customFormat="false" ht="15" hidden="false" customHeight="false" outlineLevel="0" collapsed="false">
      <c r="A23" s="4" t="s">
        <v>39</v>
      </c>
      <c r="B23" s="10" t="n">
        <v>0.075</v>
      </c>
      <c r="C23" s="6" t="s">
        <v>40</v>
      </c>
    </row>
    <row r="24" customFormat="false" ht="15" hidden="false" customHeight="false" outlineLevel="0" collapsed="false">
      <c r="A24" s="4" t="s">
        <v>41</v>
      </c>
      <c r="B24" s="10" t="n">
        <v>0.8</v>
      </c>
      <c r="C24" s="6" t="s">
        <v>42</v>
      </c>
    </row>
    <row r="25" customFormat="false" ht="15" hidden="false" customHeight="false" outlineLevel="0" collapsed="false">
      <c r="A25" s="4" t="s">
        <v>43</v>
      </c>
      <c r="B25" s="5" t="n">
        <v>80</v>
      </c>
      <c r="C25" s="6" t="s">
        <v>44</v>
      </c>
    </row>
    <row r="26" customFormat="false" ht="15" hidden="false" customHeight="false" outlineLevel="0" collapsed="false">
      <c r="A26" s="4" t="s">
        <v>45</v>
      </c>
      <c r="B26" s="5" t="n">
        <v>700</v>
      </c>
      <c r="C26" s="6" t="s">
        <v>46</v>
      </c>
    </row>
    <row r="27" customFormat="false" ht="15" hidden="false" customHeight="false" outlineLevel="0" collapsed="false">
      <c r="A27" s="4" t="s">
        <v>47</v>
      </c>
      <c r="B27" s="10" t="n">
        <v>0.08</v>
      </c>
      <c r="C27" s="6" t="s">
        <v>48</v>
      </c>
    </row>
    <row r="29" customFormat="false" ht="15" hidden="false" customHeight="false" outlineLevel="0" collapsed="false">
      <c r="A29" s="12" t="s">
        <v>49</v>
      </c>
      <c r="B29" s="13"/>
      <c r="C29" s="14"/>
    </row>
    <row r="30" customFormat="false" ht="15" hidden="false" customHeight="false" outlineLevel="0" collapsed="false">
      <c r="A30" s="4" t="s">
        <v>50</v>
      </c>
      <c r="B30" s="15" t="n">
        <v>16000</v>
      </c>
      <c r="C30" s="16" t="s">
        <v>51</v>
      </c>
    </row>
    <row r="31" customFormat="false" ht="15" hidden="false" customHeight="false" outlineLevel="0" collapsed="false">
      <c r="A31" s="4" t="s">
        <v>52</v>
      </c>
      <c r="B31" s="15" t="n">
        <v>3000</v>
      </c>
      <c r="C31" s="16" t="s">
        <v>51</v>
      </c>
    </row>
    <row r="32" customFormat="false" ht="15" hidden="false" customHeight="false" outlineLevel="0" collapsed="false">
      <c r="A32" s="4" t="s">
        <v>53</v>
      </c>
      <c r="B32" s="15" t="n">
        <v>2000</v>
      </c>
      <c r="C32" s="16" t="s">
        <v>51</v>
      </c>
    </row>
    <row r="33" customFormat="false" ht="15" hidden="false" customHeight="false" outlineLevel="0" collapsed="false">
      <c r="A33" s="4" t="s">
        <v>54</v>
      </c>
      <c r="B33" s="15" t="n">
        <v>2000</v>
      </c>
      <c r="C33" s="16" t="s">
        <v>51</v>
      </c>
    </row>
    <row r="34" customFormat="false" ht="15" hidden="false" customHeight="false" outlineLevel="0" collapsed="false">
      <c r="A34" s="4" t="s">
        <v>55</v>
      </c>
      <c r="B34" s="15" t="n">
        <v>2000</v>
      </c>
      <c r="C34" s="16" t="s">
        <v>51</v>
      </c>
    </row>
    <row r="35" customFormat="false" ht="15" hidden="false" customHeight="false" outlineLevel="0" collapsed="false">
      <c r="A35" s="17" t="s">
        <v>56</v>
      </c>
      <c r="B35" s="18" t="n">
        <f aca="false">SUM(B30:B34)</f>
        <v>25000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7" min="2" style="0" width="13"/>
  </cols>
  <sheetData>
    <row r="1" customFormat="false" ht="17.35" hidden="false" customHeight="false" outlineLevel="0" collapsed="false">
      <c r="A1" s="1" t="s">
        <v>57</v>
      </c>
    </row>
    <row r="3" customFormat="false" ht="15" hidden="false" customHeight="false" outlineLevel="0" collapsed="false">
      <c r="A3" s="3" t="s">
        <v>58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59</v>
      </c>
    </row>
    <row r="4" customFormat="false" ht="15" hidden="false" customHeight="false" outlineLevel="0" collapsed="false">
      <c r="A4" s="19" t="s">
        <v>60</v>
      </c>
      <c r="B4" s="9"/>
      <c r="C4" s="9"/>
      <c r="D4" s="9"/>
      <c r="E4" s="9"/>
      <c r="F4" s="9"/>
      <c r="G4" s="9"/>
    </row>
    <row r="5" customFormat="false" ht="15" hidden="false" customHeight="false" outlineLevel="0" collapsed="false">
      <c r="A5" s="4" t="s">
        <v>61</v>
      </c>
      <c r="B5" s="20" t="n">
        <f aca="false">Supuestos!B8+Supuestos!B10*Supuestos!B9</f>
        <v>255</v>
      </c>
      <c r="C5" s="20" t="n">
        <f aca="false">Supuestos!C8+Supuestos!C10*Supuestos!C9</f>
        <v>0</v>
      </c>
      <c r="D5" s="20" t="n">
        <f aca="false">Supuestos!D8+Supuestos!D10*Supuestos!D9</f>
        <v>0</v>
      </c>
      <c r="E5" s="20" t="n">
        <f aca="false">Supuestos!E8+Supuestos!E10*Supuestos!E9</f>
        <v>0</v>
      </c>
      <c r="F5" s="20" t="n">
        <f aca="false">Supuestos!F8+Supuestos!F10*Supuestos!F9</f>
        <v>0</v>
      </c>
    </row>
    <row r="6" customFormat="false" ht="15" hidden="false" customHeight="false" outlineLevel="0" collapsed="false">
      <c r="A6" s="4" t="s">
        <v>62</v>
      </c>
      <c r="B6" s="20" t="n">
        <f aca="false">Supuestos!B5*Supuestos!B11</f>
        <v>0</v>
      </c>
      <c r="C6" s="20" t="n">
        <f aca="false">Supuestos!C5*Supuestos!C11</f>
        <v>0</v>
      </c>
      <c r="D6" s="20" t="n">
        <f aca="false">Supuestos!D5*Supuestos!D11</f>
        <v>2200</v>
      </c>
      <c r="E6" s="20" t="n">
        <f aca="false">Supuestos!E5*Supuestos!E11</f>
        <v>437.5</v>
      </c>
      <c r="F6" s="20" t="n">
        <f aca="false">Supuestos!F5*Supuestos!F11</f>
        <v>1000</v>
      </c>
    </row>
    <row r="7" customFormat="false" ht="15" hidden="false" customHeight="false" outlineLevel="0" collapsed="false">
      <c r="A7" s="4" t="s">
        <v>63</v>
      </c>
      <c r="B7" s="20" t="n">
        <f aca="false">Supuestos!B12</f>
        <v>0</v>
      </c>
      <c r="C7" s="20" t="n">
        <f aca="false">Supuestos!C12</f>
        <v>175</v>
      </c>
      <c r="D7" s="20" t="n">
        <f aca="false">Supuestos!D12</f>
        <v>0</v>
      </c>
      <c r="E7" s="20" t="n">
        <f aca="false">Supuestos!E12</f>
        <v>0</v>
      </c>
      <c r="F7" s="20" t="n">
        <f aca="false">Supuestos!F12</f>
        <v>0</v>
      </c>
    </row>
    <row r="8" customFormat="false" ht="15" hidden="false" customHeight="false" outlineLevel="0" collapsed="false">
      <c r="A8" s="4" t="s">
        <v>64</v>
      </c>
      <c r="B8" s="20" t="n">
        <f aca="false">Supuestos!B13*Supuestos!$B$23*(Supuestos!B5*Supuestos!$B$24)</f>
        <v>240</v>
      </c>
      <c r="C8" s="20" t="n">
        <f aca="false">Supuestos!C13*Supuestos!$B$23*(Supuestos!C5*Supuestos!$B$24)</f>
        <v>180</v>
      </c>
      <c r="D8" s="20" t="n">
        <f aca="false">Supuestos!D13*Supuestos!$B$23*(Supuestos!D5*Supuestos!$B$24)</f>
        <v>528</v>
      </c>
      <c r="E8" s="20" t="n">
        <f aca="false">Supuestos!E13*Supuestos!$B$23*(Supuestos!E5*Supuestos!$B$24)</f>
        <v>0</v>
      </c>
      <c r="F8" s="20" t="n">
        <f aca="false">Supuestos!F13*Supuestos!$B$23*(Supuestos!F5*Supuestos!$B$24)</f>
        <v>300</v>
      </c>
    </row>
    <row r="9" customFormat="false" ht="15" hidden="false" customHeight="false" outlineLevel="0" collapsed="false">
      <c r="A9" s="4" t="s">
        <v>65</v>
      </c>
      <c r="B9" s="20" t="n">
        <f aca="false">Supuestos!B14*Supuestos!$B$25</f>
        <v>24</v>
      </c>
      <c r="C9" s="20" t="n">
        <f aca="false">Supuestos!C14*Supuestos!$B$25</f>
        <v>0</v>
      </c>
      <c r="D9" s="20" t="n">
        <f aca="false">Supuestos!D14*Supuestos!$B$25</f>
        <v>0</v>
      </c>
      <c r="E9" s="20" t="n">
        <f aca="false">Supuestos!E14*Supuestos!$B$25</f>
        <v>0</v>
      </c>
      <c r="F9" s="20" t="n">
        <f aca="false">Supuestos!F14*Supuestos!$B$25</f>
        <v>0</v>
      </c>
    </row>
    <row r="10" customFormat="false" ht="15" hidden="false" customHeight="false" outlineLevel="0" collapsed="false">
      <c r="A10" s="21" t="s">
        <v>66</v>
      </c>
      <c r="B10" s="22" t="n">
        <f aca="false">SUM(B5:B9)</f>
        <v>519</v>
      </c>
      <c r="C10" s="22" t="n">
        <f aca="false">SUM(C5:C9)</f>
        <v>355</v>
      </c>
      <c r="D10" s="22" t="n">
        <f aca="false">SUM(D5:D9)</f>
        <v>2728</v>
      </c>
      <c r="E10" s="22" t="n">
        <f aca="false">SUM(E5:E9)</f>
        <v>437.5</v>
      </c>
      <c r="F10" s="22" t="n">
        <f aca="false">SUM(F5:F9)</f>
        <v>1300</v>
      </c>
    </row>
    <row r="11" customFormat="false" ht="15" hidden="false" customHeight="false" outlineLevel="0" collapsed="false">
      <c r="A11" s="19" t="s">
        <v>67</v>
      </c>
      <c r="B11" s="9"/>
      <c r="C11" s="9"/>
      <c r="D11" s="9"/>
      <c r="E11" s="9"/>
      <c r="F11" s="9"/>
      <c r="G11" s="9"/>
    </row>
    <row r="12" customFormat="false" ht="15" hidden="false" customHeight="false" outlineLevel="0" collapsed="false">
      <c r="A12" s="4" t="s">
        <v>68</v>
      </c>
      <c r="B12" s="20" t="n">
        <f aca="false">Supuestos!B16</f>
        <v>45</v>
      </c>
      <c r="C12" s="20" t="n">
        <f aca="false">Supuestos!C16</f>
        <v>10</v>
      </c>
      <c r="D12" s="20" t="n">
        <f aca="false">Supuestos!D16</f>
        <v>350</v>
      </c>
      <c r="E12" s="20" t="n">
        <f aca="false">Supuestos!E16</f>
        <v>0</v>
      </c>
      <c r="F12" s="20" t="n">
        <f aca="false">Supuestos!F16</f>
        <v>0</v>
      </c>
    </row>
    <row r="13" customFormat="false" ht="15" hidden="false" customHeight="false" outlineLevel="0" collapsed="false">
      <c r="A13" s="4" t="s">
        <v>69</v>
      </c>
      <c r="B13" s="20" t="n">
        <f aca="false">Supuestos!B17+Supuestos!B19*Supuestos!B18</f>
        <v>0</v>
      </c>
      <c r="C13" s="20" t="n">
        <f aca="false">Supuestos!C17+Supuestos!C19*Supuestos!C18</f>
        <v>0</v>
      </c>
      <c r="D13" s="20" t="n">
        <f aca="false">Supuestos!D17+Supuestos!D19*Supuestos!D18</f>
        <v>320</v>
      </c>
      <c r="E13" s="20" t="n">
        <f aca="false">Supuestos!E17+Supuestos!E19*Supuestos!E18</f>
        <v>0</v>
      </c>
      <c r="F13" s="20" t="n">
        <f aca="false">Supuestos!F17+Supuestos!F19*Supuestos!F18</f>
        <v>320</v>
      </c>
    </row>
    <row r="14" customFormat="false" ht="15" hidden="false" customHeight="false" outlineLevel="0" collapsed="false">
      <c r="A14" s="21" t="s">
        <v>70</v>
      </c>
      <c r="B14" s="22" t="n">
        <f aca="false">B12+B13</f>
        <v>45</v>
      </c>
      <c r="C14" s="22" t="n">
        <f aca="false">C12+C13</f>
        <v>10</v>
      </c>
      <c r="D14" s="22" t="n">
        <f aca="false">D12+D13</f>
        <v>670</v>
      </c>
      <c r="E14" s="22" t="n">
        <f aca="false">E12+E13</f>
        <v>0</v>
      </c>
      <c r="F14" s="22" t="n">
        <f aca="false">F12+F13</f>
        <v>320</v>
      </c>
    </row>
    <row r="15" customFormat="false" ht="15" hidden="false" customHeight="false" outlineLevel="0" collapsed="false">
      <c r="A15" s="21" t="s">
        <v>71</v>
      </c>
      <c r="B15" s="22" t="n">
        <f aca="false">B10-B14</f>
        <v>474</v>
      </c>
      <c r="C15" s="22" t="n">
        <f aca="false">C10-C14</f>
        <v>345</v>
      </c>
      <c r="D15" s="22" t="n">
        <f aca="false">D10-D14</f>
        <v>2058</v>
      </c>
      <c r="E15" s="22" t="n">
        <f aca="false">E10-E14</f>
        <v>437.5</v>
      </c>
      <c r="F15" s="22" t="n">
        <f aca="false">F10-F14</f>
        <v>980</v>
      </c>
    </row>
    <row r="16" customFormat="false" ht="15" hidden="false" customHeight="false" outlineLevel="0" collapsed="false">
      <c r="A16" s="4" t="s">
        <v>72</v>
      </c>
      <c r="B16" s="20" t="n">
        <f aca="false">Supuestos!B20</f>
        <v>90</v>
      </c>
      <c r="C16" s="20" t="n">
        <f aca="false">Supuestos!C20</f>
        <v>0</v>
      </c>
      <c r="D16" s="20" t="n">
        <f aca="false">Supuestos!D20</f>
        <v>200</v>
      </c>
      <c r="E16" s="20" t="n">
        <f aca="false">Supuestos!E20</f>
        <v>0</v>
      </c>
      <c r="F16" s="20" t="n">
        <f aca="false">Supuestos!F20</f>
        <v>150</v>
      </c>
    </row>
    <row r="17" customFormat="false" ht="15" hidden="false" customHeight="false" outlineLevel="0" collapsed="false">
      <c r="A17" s="21" t="s">
        <v>73</v>
      </c>
      <c r="B17" s="18" t="n">
        <f aca="false">B15-B16</f>
        <v>384</v>
      </c>
      <c r="C17" s="18" t="n">
        <f aca="false">C15-C16</f>
        <v>345</v>
      </c>
      <c r="D17" s="18" t="n">
        <f aca="false">D15-D16</f>
        <v>1858</v>
      </c>
      <c r="E17" s="18" t="n">
        <f aca="false">E15-E16</f>
        <v>437.5</v>
      </c>
      <c r="F17" s="18" t="n">
        <f aca="false">F15-F16</f>
        <v>830</v>
      </c>
    </row>
    <row r="18" customFormat="false" ht="15" hidden="false" customHeight="false" outlineLevel="0" collapsed="false">
      <c r="A18" s="4" t="s">
        <v>74</v>
      </c>
      <c r="B18" s="23" t="n">
        <f aca="false">Supuestos!B6</f>
        <v>30</v>
      </c>
      <c r="C18" s="23" t="n">
        <f aca="false">Supuestos!C6</f>
        <v>100</v>
      </c>
      <c r="D18" s="23" t="n">
        <f aca="false">Supuestos!D6</f>
        <v>5</v>
      </c>
      <c r="E18" s="23" t="n">
        <f aca="false">Supuestos!E6</f>
        <v>20</v>
      </c>
      <c r="F18" s="23" t="n">
        <f aca="false">Supuestos!F6</f>
        <v>10</v>
      </c>
      <c r="G18" s="23" t="n">
        <f aca="false">SUM(B18:F18)</f>
        <v>165</v>
      </c>
    </row>
    <row r="19" customFormat="false" ht="15" hidden="false" customHeight="false" outlineLevel="0" collapsed="false">
      <c r="A19" s="21" t="s">
        <v>75</v>
      </c>
      <c r="B19" s="18" t="n">
        <f aca="false">B17*B18</f>
        <v>11520</v>
      </c>
      <c r="C19" s="18" t="n">
        <f aca="false">C17*C18</f>
        <v>34500</v>
      </c>
      <c r="D19" s="18" t="n">
        <f aca="false">D17*D18</f>
        <v>9290</v>
      </c>
      <c r="E19" s="18" t="n">
        <f aca="false">E17*E18</f>
        <v>8750</v>
      </c>
      <c r="F19" s="18" t="n">
        <f aca="false">F17*F18</f>
        <v>8300</v>
      </c>
      <c r="G19" s="18" t="n">
        <f aca="false">SUM(B19:F19)</f>
        <v>72360</v>
      </c>
    </row>
    <row r="20" customFormat="false" ht="15" hidden="false" customHeight="false" outlineLevel="0" collapsed="false">
      <c r="A20" s="21" t="s">
        <v>76</v>
      </c>
      <c r="B20" s="22" t="n">
        <f aca="false">B10*B18</f>
        <v>15570</v>
      </c>
      <c r="C20" s="22" t="n">
        <f aca="false">C10*C18</f>
        <v>35500</v>
      </c>
      <c r="D20" s="22" t="n">
        <f aca="false">D10*D18</f>
        <v>13640</v>
      </c>
      <c r="E20" s="22" t="n">
        <f aca="false">E10*E18</f>
        <v>8750</v>
      </c>
      <c r="F20" s="22" t="n">
        <f aca="false">F10*F18</f>
        <v>13000</v>
      </c>
      <c r="G20" s="22" t="n">
        <f aca="false">SUM(B20:F20)</f>
        <v>86460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14" min="2" style="0" width="11"/>
  </cols>
  <sheetData>
    <row r="1" customFormat="false" ht="17.35" hidden="false" customHeight="false" outlineLevel="0" collapsed="false">
      <c r="A1" s="1" t="s">
        <v>77</v>
      </c>
    </row>
    <row r="3" customFormat="false" ht="15" hidden="false" customHeight="false" outlineLevel="0" collapsed="false">
      <c r="A3" s="24" t="s">
        <v>78</v>
      </c>
      <c r="B3" s="14"/>
    </row>
    <row r="4" customFormat="false" ht="15" hidden="false" customHeight="false" outlineLevel="0" collapsed="false">
      <c r="A4" s="4" t="s">
        <v>79</v>
      </c>
      <c r="B4" s="20" t="n">
        <f aca="false">'Por canal'!G20</f>
        <v>86460</v>
      </c>
    </row>
    <row r="5" customFormat="false" ht="15" hidden="false" customHeight="false" outlineLevel="0" collapsed="false">
      <c r="A5" s="4" t="s">
        <v>80</v>
      </c>
      <c r="B5" s="20" t="n">
        <f aca="false">'Por canal'!G19</f>
        <v>72360</v>
      </c>
    </row>
    <row r="6" customFormat="false" ht="15" hidden="false" customHeight="false" outlineLevel="0" collapsed="false">
      <c r="A6" s="4" t="s">
        <v>81</v>
      </c>
      <c r="B6" s="20" t="n">
        <f aca="false">Supuestos!B35</f>
        <v>25000</v>
      </c>
    </row>
    <row r="7" customFormat="false" ht="15" hidden="false" customHeight="false" outlineLevel="0" collapsed="false">
      <c r="A7" s="21" t="s">
        <v>82</v>
      </c>
      <c r="B7" s="18" t="n">
        <f aca="false">B5-B6</f>
        <v>47360</v>
      </c>
    </row>
    <row r="8" customFormat="false" ht="15" hidden="false" customHeight="false" outlineLevel="0" collapsed="false">
      <c r="A8" s="4" t="s">
        <v>83</v>
      </c>
      <c r="B8" s="23" t="n">
        <f aca="false">'Por canal'!G18</f>
        <v>165</v>
      </c>
    </row>
    <row r="9" customFormat="false" ht="15" hidden="false" customHeight="false" outlineLevel="0" collapsed="false">
      <c r="A9" s="4" t="s">
        <v>84</v>
      </c>
      <c r="B9" s="25" t="n">
        <f aca="false">B5/B8</f>
        <v>438.545454545455</v>
      </c>
    </row>
    <row r="10" customFormat="false" ht="15" hidden="false" customHeight="false" outlineLevel="0" collapsed="false">
      <c r="A10" s="21" t="s">
        <v>85</v>
      </c>
      <c r="B10" s="26" t="n">
        <f aca="false">B6/B9</f>
        <v>57.0066334991708</v>
      </c>
    </row>
    <row r="11" customFormat="false" ht="15" hidden="false" customHeight="false" outlineLevel="0" collapsed="false">
      <c r="A11" s="4" t="s">
        <v>86</v>
      </c>
      <c r="B11" s="27" t="n">
        <f aca="false">B8-B10</f>
        <v>107.993366500829</v>
      </c>
    </row>
    <row r="14" customFormat="false" ht="15" hidden="false" customHeight="false" outlineLevel="0" collapsed="false">
      <c r="A14" s="24" t="s">
        <v>87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</row>
    <row r="15" customFormat="false" ht="15" hidden="false" customHeight="false" outlineLevel="0" collapsed="false">
      <c r="A15" s="0" t="s">
        <v>88</v>
      </c>
      <c r="B15" s="28" t="n">
        <v>0.25</v>
      </c>
    </row>
    <row r="16" customFormat="false" ht="15" hidden="false" customHeight="false" outlineLevel="0" collapsed="false">
      <c r="A16" s="0" t="s">
        <v>89</v>
      </c>
      <c r="B16" s="28" t="n">
        <v>0.18</v>
      </c>
    </row>
    <row r="18" customFormat="false" ht="15" hidden="false" customHeight="false" outlineLevel="0" collapsed="false">
      <c r="A18" s="29" t="s">
        <v>90</v>
      </c>
      <c r="C18" s="3" t="s">
        <v>91</v>
      </c>
      <c r="D18" s="3" t="s">
        <v>92</v>
      </c>
      <c r="E18" s="3" t="s">
        <v>93</v>
      </c>
      <c r="F18" s="3" t="s">
        <v>94</v>
      </c>
      <c r="G18" s="3" t="s">
        <v>95</v>
      </c>
      <c r="H18" s="3" t="s">
        <v>96</v>
      </c>
      <c r="I18" s="3" t="s">
        <v>97</v>
      </c>
      <c r="J18" s="3" t="s">
        <v>98</v>
      </c>
      <c r="K18" s="3" t="s">
        <v>99</v>
      </c>
      <c r="L18" s="3" t="s">
        <v>100</v>
      </c>
      <c r="M18" s="3" t="s">
        <v>101</v>
      </c>
      <c r="N18" s="3" t="s">
        <v>102</v>
      </c>
    </row>
    <row r="19" customFormat="false" ht="15" hidden="false" customHeight="false" outlineLevel="0" collapsed="false">
      <c r="A19" s="4" t="s">
        <v>103</v>
      </c>
      <c r="C19" s="30" t="n">
        <f aca="false">$B$15</f>
        <v>0.25</v>
      </c>
      <c r="D19" s="30" t="n">
        <f aca="false">MIN(1,C19*(1+$B$16))</f>
        <v>0.295</v>
      </c>
      <c r="E19" s="30" t="n">
        <f aca="false">MIN(1,D19*(1+$B$16))</f>
        <v>0.3481</v>
      </c>
      <c r="F19" s="30" t="n">
        <f aca="false">MIN(1,E19*(1+$B$16))</f>
        <v>0.410758</v>
      </c>
      <c r="G19" s="30" t="n">
        <f aca="false">MIN(1,F19*(1+$B$16))</f>
        <v>0.48469444</v>
      </c>
      <c r="H19" s="30" t="n">
        <f aca="false">MIN(1,G19*(1+$B$16))</f>
        <v>0.5719394392</v>
      </c>
      <c r="I19" s="30" t="n">
        <f aca="false">MIN(1,H19*(1+$B$16))</f>
        <v>0.674888538256</v>
      </c>
      <c r="J19" s="30" t="n">
        <f aca="false">MIN(1,I19*(1+$B$16))</f>
        <v>0.79636847514208</v>
      </c>
      <c r="K19" s="30" t="n">
        <f aca="false">MIN(1,J19*(1+$B$16))</f>
        <v>0.939714800667654</v>
      </c>
      <c r="L19" s="30" t="n">
        <f aca="false">MIN(1,K19*(1+$B$16))</f>
        <v>1</v>
      </c>
      <c r="M19" s="30" t="n">
        <f aca="false">MIN(1,L19*(1+$B$16))</f>
        <v>1</v>
      </c>
      <c r="N19" s="30" t="n">
        <f aca="false">MIN(1,M19*(1+$B$16))</f>
        <v>1</v>
      </c>
    </row>
    <row r="20" customFormat="false" ht="15" hidden="false" customHeight="false" outlineLevel="0" collapsed="false">
      <c r="A20" s="4" t="s">
        <v>83</v>
      </c>
      <c r="C20" s="27" t="n">
        <f aca="false">C19*$B$8</f>
        <v>41.25</v>
      </c>
      <c r="D20" s="27" t="n">
        <f aca="false">D19*$B$8</f>
        <v>48.675</v>
      </c>
      <c r="E20" s="27" t="n">
        <f aca="false">E19*$B$8</f>
        <v>57.4365</v>
      </c>
      <c r="F20" s="27" t="n">
        <f aca="false">F19*$B$8</f>
        <v>67.77507</v>
      </c>
      <c r="G20" s="27" t="n">
        <f aca="false">G19*$B$8</f>
        <v>79.9745826</v>
      </c>
      <c r="H20" s="27" t="n">
        <f aca="false">H19*$B$8</f>
        <v>94.370007468</v>
      </c>
      <c r="I20" s="27" t="n">
        <f aca="false">I19*$B$8</f>
        <v>111.35660881224</v>
      </c>
      <c r="J20" s="27" t="n">
        <f aca="false">J19*$B$8</f>
        <v>131.400798398443</v>
      </c>
      <c r="K20" s="27" t="n">
        <f aca="false">K19*$B$8</f>
        <v>155.052942110163</v>
      </c>
      <c r="L20" s="27" t="n">
        <f aca="false">L19*$B$8</f>
        <v>165</v>
      </c>
      <c r="M20" s="27" t="n">
        <f aca="false">M19*$B$8</f>
        <v>165</v>
      </c>
      <c r="N20" s="27" t="n">
        <f aca="false">N19*$B$8</f>
        <v>165</v>
      </c>
    </row>
    <row r="21" customFormat="false" ht="15" hidden="false" customHeight="false" outlineLevel="0" collapsed="false">
      <c r="A21" s="4" t="s">
        <v>104</v>
      </c>
      <c r="C21" s="25" t="n">
        <f aca="false">C20*$B$9</f>
        <v>18090</v>
      </c>
      <c r="D21" s="25" t="n">
        <f aca="false">D20*$B$9</f>
        <v>21346.2</v>
      </c>
      <c r="E21" s="25" t="n">
        <f aca="false">E20*$B$9</f>
        <v>25188.516</v>
      </c>
      <c r="F21" s="25" t="n">
        <f aca="false">F20*$B$9</f>
        <v>29722.44888</v>
      </c>
      <c r="G21" s="25" t="n">
        <f aca="false">G20*$B$9</f>
        <v>35072.4896784</v>
      </c>
      <c r="H21" s="25" t="n">
        <f aca="false">H20*$B$9</f>
        <v>41385.537820512</v>
      </c>
      <c r="I21" s="25" t="n">
        <f aca="false">I20*$B$9</f>
        <v>48834.9346282042</v>
      </c>
      <c r="J21" s="25" t="n">
        <f aca="false">J20*$B$9</f>
        <v>57625.2228612809</v>
      </c>
      <c r="K21" s="25" t="n">
        <f aca="false">K20*$B$9</f>
        <v>67997.7629763115</v>
      </c>
      <c r="L21" s="25" t="n">
        <f aca="false">L20*$B$9</f>
        <v>72360</v>
      </c>
      <c r="M21" s="25" t="n">
        <f aca="false">M20*$B$9</f>
        <v>72360</v>
      </c>
      <c r="N21" s="25" t="n">
        <f aca="false">N20*$B$9</f>
        <v>72360</v>
      </c>
    </row>
    <row r="22" customFormat="false" ht="15" hidden="false" customHeight="false" outlineLevel="0" collapsed="false">
      <c r="A22" s="4" t="s">
        <v>105</v>
      </c>
      <c r="C22" s="25" t="n">
        <f aca="false">$B$6</f>
        <v>25000</v>
      </c>
      <c r="D22" s="25" t="n">
        <f aca="false">$B$6</f>
        <v>25000</v>
      </c>
      <c r="E22" s="25" t="n">
        <f aca="false">$B$6</f>
        <v>25000</v>
      </c>
      <c r="F22" s="25" t="n">
        <f aca="false">$B$6</f>
        <v>25000</v>
      </c>
      <c r="G22" s="25" t="n">
        <f aca="false">$B$6</f>
        <v>25000</v>
      </c>
      <c r="H22" s="25" t="n">
        <f aca="false">$B$6</f>
        <v>25000</v>
      </c>
      <c r="I22" s="25" t="n">
        <f aca="false">$B$6</f>
        <v>25000</v>
      </c>
      <c r="J22" s="25" t="n">
        <f aca="false">$B$6</f>
        <v>25000</v>
      </c>
      <c r="K22" s="25" t="n">
        <f aca="false">$B$6</f>
        <v>25000</v>
      </c>
      <c r="L22" s="25" t="n">
        <f aca="false">$B$6</f>
        <v>25000</v>
      </c>
      <c r="M22" s="25" t="n">
        <f aca="false">$B$6</f>
        <v>25000</v>
      </c>
      <c r="N22" s="25" t="n">
        <f aca="false">$B$6</f>
        <v>25000</v>
      </c>
    </row>
    <row r="23" customFormat="false" ht="15" hidden="false" customHeight="false" outlineLevel="0" collapsed="false">
      <c r="A23" s="21" t="s">
        <v>82</v>
      </c>
      <c r="C23" s="18" t="n">
        <f aca="false">C21-C22</f>
        <v>-6910</v>
      </c>
      <c r="D23" s="18" t="n">
        <f aca="false">D21-D22</f>
        <v>-3653.8</v>
      </c>
      <c r="E23" s="18" t="n">
        <f aca="false">E21-E22</f>
        <v>188.516</v>
      </c>
      <c r="F23" s="18" t="n">
        <f aca="false">F21-F22</f>
        <v>4722.44888</v>
      </c>
      <c r="G23" s="18" t="n">
        <f aca="false">G21-G22</f>
        <v>10072.4896784</v>
      </c>
      <c r="H23" s="18" t="n">
        <f aca="false">H21-H22</f>
        <v>16385.537820512</v>
      </c>
      <c r="I23" s="18" t="n">
        <f aca="false">I21-I22</f>
        <v>23834.9346282042</v>
      </c>
      <c r="J23" s="18" t="n">
        <f aca="false">J21-J22</f>
        <v>32625.2228612809</v>
      </c>
      <c r="K23" s="18" t="n">
        <f aca="false">K21-K22</f>
        <v>42997.7629763115</v>
      </c>
      <c r="L23" s="18" t="n">
        <f aca="false">L21-L22</f>
        <v>47360</v>
      </c>
      <c r="M23" s="18" t="n">
        <f aca="false">M21-M22</f>
        <v>47360</v>
      </c>
      <c r="N23" s="18" t="n">
        <f aca="false">N21-N22</f>
        <v>47360</v>
      </c>
    </row>
    <row r="24" customFormat="false" ht="15" hidden="false" customHeight="false" outlineLevel="0" collapsed="false">
      <c r="A24" s="21" t="s">
        <v>106</v>
      </c>
      <c r="C24" s="22" t="n">
        <f aca="false">C23</f>
        <v>-6910</v>
      </c>
      <c r="D24" s="22" t="n">
        <f aca="false">C24+D23</f>
        <v>-10563.8</v>
      </c>
      <c r="E24" s="22" t="n">
        <f aca="false">D24+E23</f>
        <v>-10375.284</v>
      </c>
      <c r="F24" s="22" t="n">
        <f aca="false">E24+F23</f>
        <v>-5652.83512</v>
      </c>
      <c r="G24" s="22" t="n">
        <f aca="false">F24+G23</f>
        <v>4419.65455839999</v>
      </c>
      <c r="H24" s="22" t="n">
        <f aca="false">G24+H23</f>
        <v>20805.192378912</v>
      </c>
      <c r="I24" s="22" t="n">
        <f aca="false">H24+I23</f>
        <v>44640.1270071161</v>
      </c>
      <c r="J24" s="22" t="n">
        <f aca="false">I24+J23</f>
        <v>77265.349868397</v>
      </c>
      <c r="K24" s="22" t="n">
        <f aca="false">J24+K23</f>
        <v>120263.112844708</v>
      </c>
      <c r="L24" s="22" t="n">
        <f aca="false">K24+L23</f>
        <v>167623.112844709</v>
      </c>
      <c r="M24" s="22" t="n">
        <f aca="false">L24+M23</f>
        <v>214983.112844709</v>
      </c>
      <c r="N24" s="22" t="n">
        <f aca="false">M24+N23</f>
        <v>262343.112844709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6" min="2" style="0" width="15"/>
    <col collapsed="false" customWidth="true" hidden="false" outlineLevel="0" max="7" min="7" style="0" width="2"/>
  </cols>
  <sheetData>
    <row r="1" customFormat="false" ht="17.35" hidden="false" customHeight="false" outlineLevel="0" collapsed="false">
      <c r="A1" s="1" t="s">
        <v>107</v>
      </c>
    </row>
    <row r="2" customFormat="false" ht="15" hidden="false" customHeight="false" outlineLevel="0" collapsed="false">
      <c r="A2" s="2" t="s">
        <v>108</v>
      </c>
    </row>
    <row r="4" customFormat="false" ht="15" hidden="false" customHeight="false" outlineLevel="0" collapsed="false">
      <c r="A4" s="12" t="s">
        <v>109</v>
      </c>
      <c r="B4" s="13"/>
      <c r="C4" s="14"/>
    </row>
    <row r="5" customFormat="false" ht="15" hidden="false" customHeight="false" outlineLevel="0" collapsed="false">
      <c r="A5" s="4" t="s">
        <v>110</v>
      </c>
      <c r="B5" s="7" t="n">
        <v>5</v>
      </c>
      <c r="C5" s="6" t="s">
        <v>51</v>
      </c>
    </row>
    <row r="6" customFormat="false" ht="15" hidden="false" customHeight="false" outlineLevel="0" collapsed="false">
      <c r="A6" s="4" t="s">
        <v>111</v>
      </c>
      <c r="B6" s="11" t="n">
        <v>0.1</v>
      </c>
      <c r="C6" s="6" t="s">
        <v>51</v>
      </c>
    </row>
    <row r="7" customFormat="false" ht="15" hidden="false" customHeight="false" outlineLevel="0" collapsed="false">
      <c r="A7" s="4" t="s">
        <v>112</v>
      </c>
      <c r="B7" s="11" t="n">
        <v>0.75</v>
      </c>
      <c r="C7" s="6" t="s">
        <v>113</v>
      </c>
    </row>
    <row r="8" customFormat="false" ht="15" hidden="false" customHeight="false" outlineLevel="0" collapsed="false">
      <c r="A8" s="4" t="s">
        <v>114</v>
      </c>
      <c r="B8" s="11" t="n">
        <v>0.8</v>
      </c>
      <c r="C8" s="6" t="s">
        <v>51</v>
      </c>
    </row>
    <row r="9" customFormat="false" ht="15" hidden="false" customHeight="false" outlineLevel="0" collapsed="false">
      <c r="A9" s="4" t="s">
        <v>115</v>
      </c>
      <c r="B9" s="11" t="n">
        <v>0.15</v>
      </c>
      <c r="C9" s="6" t="s">
        <v>113</v>
      </c>
    </row>
    <row r="10" customFormat="false" ht="15" hidden="false" customHeight="false" outlineLevel="0" collapsed="false">
      <c r="A10" s="4" t="s">
        <v>116</v>
      </c>
      <c r="B10" s="5" t="n">
        <v>390</v>
      </c>
      <c r="C10" s="6" t="s">
        <v>117</v>
      </c>
    </row>
    <row r="13" customFormat="false" ht="15" hidden="false" customHeight="false" outlineLevel="0" collapsed="false">
      <c r="A13" s="24" t="s">
        <v>118</v>
      </c>
      <c r="B13" s="14"/>
      <c r="C13" s="14"/>
      <c r="D13" s="14"/>
      <c r="E13" s="14"/>
      <c r="F13" s="14"/>
    </row>
    <row r="14" customFormat="false" ht="15" hidden="false" customHeight="false" outlineLevel="0" collapsed="false">
      <c r="A14" s="3" t="s">
        <v>119</v>
      </c>
      <c r="B14" s="3" t="s">
        <v>120</v>
      </c>
      <c r="C14" s="3" t="s">
        <v>121</v>
      </c>
      <c r="D14" s="3" t="s">
        <v>122</v>
      </c>
      <c r="E14" s="3" t="s">
        <v>123</v>
      </c>
    </row>
    <row r="15" customFormat="false" ht="15" hidden="false" customHeight="false" outlineLevel="0" collapsed="false">
      <c r="A15" s="31" t="s">
        <v>124</v>
      </c>
      <c r="B15" s="20" t="n">
        <f aca="false">Supuestos!B26</f>
        <v>700</v>
      </c>
      <c r="C15" s="32" t="n">
        <f aca="false">Supuestos!B27</f>
        <v>0.08</v>
      </c>
      <c r="D15" s="11" t="n">
        <v>0.2</v>
      </c>
      <c r="E15" s="33" t="n">
        <f aca="false">B15*C15*D15</f>
        <v>11.2</v>
      </c>
    </row>
    <row r="16" customFormat="false" ht="15" hidden="false" customHeight="false" outlineLevel="0" collapsed="false">
      <c r="A16" s="31" t="s">
        <v>125</v>
      </c>
      <c r="B16" s="5" t="n">
        <v>450</v>
      </c>
      <c r="C16" s="10" t="n">
        <v>0.08</v>
      </c>
      <c r="D16" s="11" t="n">
        <v>0.2</v>
      </c>
      <c r="E16" s="33" t="n">
        <f aca="false">B16*C16*D16</f>
        <v>7.2</v>
      </c>
    </row>
    <row r="17" customFormat="false" ht="15" hidden="false" customHeight="false" outlineLevel="0" collapsed="false">
      <c r="A17" s="31" t="s">
        <v>126</v>
      </c>
      <c r="B17" s="5" t="n">
        <v>60</v>
      </c>
      <c r="C17" s="10" t="n">
        <v>0.08</v>
      </c>
      <c r="D17" s="11" t="n">
        <v>0.2</v>
      </c>
      <c r="E17" s="33" t="n">
        <f aca="false">B17*C17*D17</f>
        <v>0.96</v>
      </c>
    </row>
    <row r="20" customFormat="false" ht="15" hidden="false" customHeight="false" outlineLevel="0" collapsed="false">
      <c r="A20" s="24" t="s">
        <v>127</v>
      </c>
      <c r="B20" s="14"/>
      <c r="C20" s="14"/>
      <c r="D20" s="14"/>
      <c r="E20" s="14"/>
      <c r="F20" s="14"/>
      <c r="G20" s="14"/>
    </row>
    <row r="21" customFormat="false" ht="15" hidden="false" customHeight="false" outlineLevel="0" collapsed="false">
      <c r="A21" s="29" t="s">
        <v>128</v>
      </c>
      <c r="B21" s="3" t="s">
        <v>91</v>
      </c>
      <c r="C21" s="3" t="s">
        <v>92</v>
      </c>
      <c r="D21" s="3" t="s">
        <v>93</v>
      </c>
      <c r="E21" s="3" t="s">
        <v>94</v>
      </c>
      <c r="F21" s="3" t="s">
        <v>95</v>
      </c>
    </row>
    <row r="22" customFormat="false" ht="15" hidden="false" customHeight="false" outlineLevel="0" collapsed="false">
      <c r="A22" s="4" t="s">
        <v>129</v>
      </c>
      <c r="B22" s="33" t="n">
        <f aca="false">$E$15*($B$7^0)</f>
        <v>11.2</v>
      </c>
      <c r="C22" s="33" t="n">
        <f aca="false">$E$15*($B$7^1)</f>
        <v>8.4</v>
      </c>
      <c r="D22" s="33" t="n">
        <f aca="false">$E$15*($B$7^2)</f>
        <v>6.3</v>
      </c>
      <c r="E22" s="33" t="n">
        <f aca="false">$E$15*($B$7^3)</f>
        <v>4.725</v>
      </c>
      <c r="F22" s="33" t="n">
        <f aca="false">$E$15*($B$7^4)</f>
        <v>3.54375</v>
      </c>
    </row>
    <row r="23" customFormat="false" ht="15" hidden="false" customHeight="false" outlineLevel="0" collapsed="false">
      <c r="A23" s="4" t="s">
        <v>130</v>
      </c>
      <c r="B23" s="33" t="n">
        <f aca="false">$E$16*($B$8^0)</f>
        <v>7.2</v>
      </c>
      <c r="C23" s="33" t="n">
        <f aca="false">$E$16*($B$8^1)</f>
        <v>5.76</v>
      </c>
      <c r="D23" s="33" t="n">
        <f aca="false">$E$16*($B$8^2)</f>
        <v>4.608</v>
      </c>
      <c r="E23" s="33" t="n">
        <f aca="false">$E$16*($B$8^3)</f>
        <v>3.6864</v>
      </c>
      <c r="F23" s="33" t="n">
        <f aca="false">$E$16*($B$8^4)</f>
        <v>2.94912</v>
      </c>
    </row>
    <row r="24" customFormat="false" ht="15" hidden="false" customHeight="false" outlineLevel="0" collapsed="false">
      <c r="A24" s="4" t="s">
        <v>131</v>
      </c>
      <c r="B24" s="33" t="n">
        <f aca="false">IF(MOD(1,2)=0,$E$17*($B$8^0),0)</f>
        <v>0</v>
      </c>
      <c r="C24" s="33" t="n">
        <f aca="false">IF(MOD(2,2)=0,$E$17*($B$8^1),0)</f>
        <v>0.768</v>
      </c>
      <c r="D24" s="33" t="n">
        <f aca="false">IF(MOD(3,2)=0,$E$17*($B$8^2),0)</f>
        <v>0</v>
      </c>
      <c r="E24" s="33" t="n">
        <f aca="false">IF(MOD(4,2)=0,$E$17*($B$8^3),0)</f>
        <v>0.49152</v>
      </c>
      <c r="F24" s="33" t="n">
        <f aca="false">IF(MOD(5,2)=0,$E$17*($B$8^4),0)</f>
        <v>0</v>
      </c>
    </row>
    <row r="25" customFormat="false" ht="15" hidden="false" customHeight="false" outlineLevel="0" collapsed="false">
      <c r="A25" s="21" t="s">
        <v>132</v>
      </c>
      <c r="B25" s="34" t="n">
        <f aca="false">B22+B23+B24</f>
        <v>18.4</v>
      </c>
      <c r="C25" s="34" t="n">
        <f aca="false">C22+C23+C24</f>
        <v>14.928</v>
      </c>
      <c r="D25" s="34" t="n">
        <f aca="false">D22+D23+D24</f>
        <v>10.908</v>
      </c>
      <c r="E25" s="34" t="n">
        <f aca="false">E22+E23+E24</f>
        <v>8.90292</v>
      </c>
      <c r="F25" s="34" t="n">
        <f aca="false">F22+F23+F24</f>
        <v>6.49287</v>
      </c>
    </row>
    <row r="26" customFormat="false" ht="15" hidden="false" customHeight="false" outlineLevel="0" collapsed="false">
      <c r="A26" s="4" t="s">
        <v>133</v>
      </c>
      <c r="B26" s="35" t="n">
        <f aca="false">1/((1+$B$6)^1)</f>
        <v>0.909090909090909</v>
      </c>
      <c r="C26" s="35" t="n">
        <f aca="false">1/((1+$B$6)^2)</f>
        <v>0.826446280991735</v>
      </c>
      <c r="D26" s="35" t="n">
        <f aca="false">1/((1+$B$6)^3)</f>
        <v>0.751314800901578</v>
      </c>
      <c r="E26" s="35" t="n">
        <f aca="false">1/((1+$B$6)^4)</f>
        <v>0.683013455365071</v>
      </c>
      <c r="F26" s="35" t="n">
        <f aca="false">1/((1+$B$6)^5)</f>
        <v>0.620921323059155</v>
      </c>
    </row>
    <row r="27" customFormat="false" ht="15" hidden="false" customHeight="false" outlineLevel="0" collapsed="false">
      <c r="A27" s="4" t="s">
        <v>134</v>
      </c>
      <c r="B27" s="33" t="n">
        <f aca="false">B25*B26</f>
        <v>16.7272727272727</v>
      </c>
      <c r="C27" s="33" t="n">
        <f aca="false">C25*C26</f>
        <v>12.3371900826446</v>
      </c>
      <c r="D27" s="33" t="n">
        <f aca="false">D25*D26</f>
        <v>8.19534184823441</v>
      </c>
      <c r="E27" s="33" t="n">
        <f aca="false">E25*E26</f>
        <v>6.08081415203879</v>
      </c>
      <c r="F27" s="33" t="n">
        <f aca="false">F25*F26</f>
        <v>4.0315614308511</v>
      </c>
    </row>
    <row r="30" customFormat="false" ht="15" hidden="false" customHeight="false" outlineLevel="0" collapsed="false">
      <c r="A30" s="12" t="s">
        <v>135</v>
      </c>
      <c r="B30" s="13"/>
    </row>
    <row r="31" customFormat="false" ht="15" hidden="false" customHeight="false" outlineLevel="0" collapsed="false">
      <c r="A31" s="4" t="s">
        <v>136</v>
      </c>
      <c r="B31" s="34" t="n">
        <f aca="false">SUM(B27:F27)</f>
        <v>47.3721802410417</v>
      </c>
    </row>
    <row r="32" customFormat="false" ht="15" hidden="false" customHeight="false" outlineLevel="0" collapsed="false">
      <c r="A32" s="4" t="s">
        <v>137</v>
      </c>
      <c r="B32" s="33" t="n">
        <f aca="false">B9*B10/((1+B6)^B5)</f>
        <v>36.3238973989606</v>
      </c>
    </row>
    <row r="33" customFormat="false" ht="15" hidden="false" customHeight="false" outlineLevel="0" collapsed="false">
      <c r="A33" s="21" t="s">
        <v>138</v>
      </c>
      <c r="B33" s="36" t="n">
        <f aca="false">B31+B32</f>
        <v>83.6960776400022</v>
      </c>
      <c r="C33" s="16" t="s">
        <v>139</v>
      </c>
    </row>
    <row r="34" customFormat="false" ht="15" hidden="false" customHeight="false" outlineLevel="0" collapsed="false">
      <c r="A34" s="4" t="s">
        <v>140</v>
      </c>
      <c r="B34" s="20" t="n">
        <f aca="false">Supuestos!B20</f>
        <v>90</v>
      </c>
    </row>
    <row r="35" customFormat="false" ht="15" hidden="false" customHeight="false" outlineLevel="0" collapsed="false">
      <c r="A35" s="21" t="s">
        <v>141</v>
      </c>
      <c r="B35" s="37" t="n">
        <f aca="false">B33/B34</f>
        <v>0.929956418222247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5" min="2" style="0" width="10"/>
  </cols>
  <sheetData>
    <row r="1" customFormat="false" ht="17.35" hidden="false" customHeight="false" outlineLevel="0" collapsed="false">
      <c r="A1" s="1" t="s">
        <v>142</v>
      </c>
    </row>
    <row r="2" customFormat="false" ht="15" hidden="false" customHeight="false" outlineLevel="0" collapsed="false">
      <c r="A2" s="2" t="s">
        <v>143</v>
      </c>
    </row>
    <row r="4" customFormat="false" ht="15" hidden="false" customHeight="false" outlineLevel="0" collapsed="false">
      <c r="A4" s="12" t="s">
        <v>144</v>
      </c>
      <c r="B4" s="13"/>
      <c r="C4" s="14"/>
    </row>
    <row r="5" customFormat="false" ht="15" hidden="false" customHeight="false" outlineLevel="0" collapsed="false">
      <c r="A5" s="4" t="s">
        <v>145</v>
      </c>
      <c r="B5" s="38" t="n">
        <v>3</v>
      </c>
      <c r="C5" s="6" t="s">
        <v>17</v>
      </c>
    </row>
    <row r="6" customFormat="false" ht="15" hidden="false" customHeight="false" outlineLevel="0" collapsed="false">
      <c r="A6" s="4" t="s">
        <v>146</v>
      </c>
      <c r="B6" s="38" t="n">
        <v>15</v>
      </c>
      <c r="C6" s="6" t="s">
        <v>147</v>
      </c>
    </row>
    <row r="7" customFormat="false" ht="15" hidden="false" customHeight="false" outlineLevel="0" collapsed="false">
      <c r="A7" s="4" t="s">
        <v>89</v>
      </c>
      <c r="B7" s="10" t="n">
        <v>0.1</v>
      </c>
      <c r="C7" s="6" t="s">
        <v>17</v>
      </c>
    </row>
    <row r="8" customFormat="false" ht="15" hidden="false" customHeight="false" outlineLevel="0" collapsed="false">
      <c r="A8" s="4" t="s">
        <v>148</v>
      </c>
      <c r="B8" s="20" t="n">
        <f aca="false">Viabilidad!B9</f>
        <v>438.545454545455</v>
      </c>
      <c r="C8" s="6" t="s">
        <v>149</v>
      </c>
    </row>
    <row r="9" customFormat="false" ht="15" hidden="false" customHeight="false" outlineLevel="0" collapsed="false">
      <c r="A9" s="4" t="s">
        <v>49</v>
      </c>
      <c r="B9" s="20" t="n">
        <f aca="false">Supuestos!B35</f>
        <v>25000</v>
      </c>
      <c r="C9" s="6" t="s">
        <v>149</v>
      </c>
    </row>
    <row r="10" customFormat="false" ht="15" hidden="false" customHeight="false" outlineLevel="0" collapsed="false">
      <c r="A10" s="4" t="s">
        <v>150</v>
      </c>
      <c r="B10" s="23" t="n">
        <f aca="false">B9/B8</f>
        <v>57.0066334991708</v>
      </c>
      <c r="C10" s="6" t="s">
        <v>151</v>
      </c>
    </row>
    <row r="11" customFormat="false" ht="15" hidden="false" customHeight="false" outlineLevel="0" collapsed="false">
      <c r="A11" s="4" t="s">
        <v>152</v>
      </c>
      <c r="B11" s="11" t="n">
        <v>0.25</v>
      </c>
      <c r="C11" s="6" t="s">
        <v>42</v>
      </c>
    </row>
    <row r="13" customFormat="false" ht="15" hidden="false" customHeight="false" outlineLevel="0" collapsed="false">
      <c r="A13" s="24" t="s">
        <v>153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A14" s="29" t="s">
        <v>90</v>
      </c>
      <c r="B14" s="3" t="n">
        <v>1</v>
      </c>
      <c r="C14" s="3" t="n">
        <v>2</v>
      </c>
      <c r="D14" s="3" t="n">
        <v>3</v>
      </c>
      <c r="E14" s="3" t="n">
        <v>4</v>
      </c>
      <c r="F14" s="3" t="n">
        <v>5</v>
      </c>
      <c r="G14" s="3" t="n">
        <v>6</v>
      </c>
      <c r="H14" s="3" t="n">
        <v>7</v>
      </c>
      <c r="I14" s="3" t="n">
        <v>8</v>
      </c>
      <c r="J14" s="3" t="n">
        <v>9</v>
      </c>
      <c r="K14" s="3" t="n">
        <v>10</v>
      </c>
      <c r="L14" s="3" t="n">
        <v>11</v>
      </c>
      <c r="M14" s="3" t="n">
        <v>12</v>
      </c>
      <c r="N14" s="3" t="n">
        <v>13</v>
      </c>
      <c r="O14" s="3" t="n">
        <v>14</v>
      </c>
      <c r="P14" s="3" t="n">
        <v>15</v>
      </c>
      <c r="Q14" s="3" t="n">
        <v>16</v>
      </c>
      <c r="R14" s="3" t="n">
        <v>17</v>
      </c>
      <c r="S14" s="3" t="n">
        <v>18</v>
      </c>
      <c r="T14" s="3" t="n">
        <v>19</v>
      </c>
      <c r="U14" s="3" t="n">
        <v>20</v>
      </c>
      <c r="V14" s="3" t="n">
        <v>21</v>
      </c>
      <c r="W14" s="3" t="n">
        <v>22</v>
      </c>
      <c r="X14" s="3" t="n">
        <v>23</v>
      </c>
      <c r="Y14" s="3" t="n">
        <v>24</v>
      </c>
    </row>
    <row r="15" customFormat="false" ht="15" hidden="false" customHeight="false" outlineLevel="0" collapsed="false">
      <c r="A15" s="4" t="s">
        <v>154</v>
      </c>
      <c r="B15" s="27" t="n">
        <f aca="false">IF(1&lt;=$B$5,0,$B$6*(1+$B$7)^(1-$B$5-1))</f>
        <v>0</v>
      </c>
      <c r="C15" s="27" t="n">
        <f aca="false">IF(2&lt;=$B$5,0,$B$6*(1+$B$7)^(2-$B$5-1))</f>
        <v>0</v>
      </c>
      <c r="D15" s="27" t="n">
        <f aca="false">IF(3&lt;=$B$5,0,$B$6*(1+$B$7)^(3-$B$5-1))</f>
        <v>0</v>
      </c>
      <c r="E15" s="27" t="n">
        <f aca="false">IF(4&lt;=$B$5,0,$B$6*(1+$B$7)^(4-$B$5-1))</f>
        <v>15</v>
      </c>
      <c r="F15" s="27" t="n">
        <f aca="false">IF(5&lt;=$B$5,0,$B$6*(1+$B$7)^(5-$B$5-1))</f>
        <v>16.5</v>
      </c>
      <c r="G15" s="27" t="n">
        <f aca="false">IF(6&lt;=$B$5,0,$B$6*(1+$B$7)^(6-$B$5-1))</f>
        <v>18.15</v>
      </c>
      <c r="H15" s="27" t="n">
        <f aca="false">IF(7&lt;=$B$5,0,$B$6*(1+$B$7)^(7-$B$5-1))</f>
        <v>19.965</v>
      </c>
      <c r="I15" s="27" t="n">
        <f aca="false">IF(8&lt;=$B$5,0,$B$6*(1+$B$7)^(8-$B$5-1))</f>
        <v>21.9615</v>
      </c>
      <c r="J15" s="27" t="n">
        <f aca="false">IF(9&lt;=$B$5,0,$B$6*(1+$B$7)^(9-$B$5-1))</f>
        <v>24.15765</v>
      </c>
      <c r="K15" s="27" t="n">
        <f aca="false">IF(10&lt;=$B$5,0,$B$6*(1+$B$7)^(10-$B$5-1))</f>
        <v>26.573415</v>
      </c>
      <c r="L15" s="27" t="n">
        <f aca="false">IF(11&lt;=$B$5,0,$B$6*(1+$B$7)^(11-$B$5-1))</f>
        <v>29.2307565</v>
      </c>
      <c r="M15" s="27" t="n">
        <f aca="false">IF(12&lt;=$B$5,0,$B$6*(1+$B$7)^(12-$B$5-1))</f>
        <v>32.15383215</v>
      </c>
      <c r="N15" s="27" t="n">
        <f aca="false">IF(13&lt;=$B$5,0,$B$6*(1+$B$7)^(13-$B$5-1))</f>
        <v>35.369215365</v>
      </c>
      <c r="O15" s="27" t="n">
        <f aca="false">IF(14&lt;=$B$5,0,$B$6*(1+$B$7)^(14-$B$5-1))</f>
        <v>38.9061369015</v>
      </c>
      <c r="P15" s="27" t="n">
        <f aca="false">IF(15&lt;=$B$5,0,$B$6*(1+$B$7)^(15-$B$5-1))</f>
        <v>42.79675059165</v>
      </c>
      <c r="Q15" s="27" t="n">
        <f aca="false">IF(16&lt;=$B$5,0,$B$6*(1+$B$7)^(16-$B$5-1))</f>
        <v>47.0764256508151</v>
      </c>
      <c r="R15" s="27" t="n">
        <f aca="false">IF(17&lt;=$B$5,0,$B$6*(1+$B$7)^(17-$B$5-1))</f>
        <v>51.7840682158966</v>
      </c>
      <c r="S15" s="27" t="n">
        <f aca="false">IF(18&lt;=$B$5,0,$B$6*(1+$B$7)^(18-$B$5-1))</f>
        <v>56.9624750374862</v>
      </c>
      <c r="T15" s="27" t="n">
        <f aca="false">IF(19&lt;=$B$5,0,$B$6*(1+$B$7)^(19-$B$5-1))</f>
        <v>62.6587225412348</v>
      </c>
      <c r="U15" s="27" t="n">
        <f aca="false">IF(20&lt;=$B$5,0,$B$6*(1+$B$7)^(20-$B$5-1))</f>
        <v>68.9245947953583</v>
      </c>
      <c r="V15" s="27" t="n">
        <f aca="false">IF(21&lt;=$B$5,0,$B$6*(1+$B$7)^(21-$B$5-1))</f>
        <v>75.8170542748942</v>
      </c>
      <c r="W15" s="27" t="n">
        <f aca="false">IF(22&lt;=$B$5,0,$B$6*(1+$B$7)^(22-$B$5-1))</f>
        <v>83.3987597023836</v>
      </c>
      <c r="X15" s="27" t="n">
        <f aca="false">IF(23&lt;=$B$5,0,$B$6*(1+$B$7)^(23-$B$5-1))</f>
        <v>91.738635672622</v>
      </c>
      <c r="Y15" s="27" t="n">
        <f aca="false">IF(24&lt;=$B$5,0,$B$6*(1+$B$7)^(24-$B$5-1))</f>
        <v>100.912499239884</v>
      </c>
    </row>
    <row r="16" customFormat="false" ht="15" hidden="false" customHeight="false" outlineLevel="0" collapsed="false">
      <c r="A16" s="4" t="s">
        <v>155</v>
      </c>
      <c r="B16" s="25" t="n">
        <f aca="false">B15*$B$8</f>
        <v>0</v>
      </c>
      <c r="C16" s="25" t="n">
        <f aca="false">C15*$B$8</f>
        <v>0</v>
      </c>
      <c r="D16" s="25" t="n">
        <f aca="false">D15*$B$8</f>
        <v>0</v>
      </c>
      <c r="E16" s="25" t="n">
        <f aca="false">E15*$B$8</f>
        <v>6578.18181818182</v>
      </c>
      <c r="F16" s="25" t="n">
        <f aca="false">F15*$B$8</f>
        <v>7236</v>
      </c>
      <c r="G16" s="25" t="n">
        <f aca="false">G15*$B$8</f>
        <v>7959.6</v>
      </c>
      <c r="H16" s="25" t="n">
        <f aca="false">H15*$B$8</f>
        <v>8755.56</v>
      </c>
      <c r="I16" s="25" t="n">
        <f aca="false">I15*$B$8</f>
        <v>9631.116</v>
      </c>
      <c r="J16" s="25" t="n">
        <f aca="false">J15*$B$8</f>
        <v>10594.2276</v>
      </c>
      <c r="K16" s="25" t="n">
        <f aca="false">K15*$B$8</f>
        <v>11653.65036</v>
      </c>
      <c r="L16" s="25" t="n">
        <f aca="false">L15*$B$8</f>
        <v>12819.015396</v>
      </c>
      <c r="M16" s="25" t="n">
        <f aca="false">M15*$B$8</f>
        <v>14100.9169356</v>
      </c>
      <c r="N16" s="25" t="n">
        <f aca="false">N15*$B$8</f>
        <v>15511.00862916</v>
      </c>
      <c r="O16" s="25" t="n">
        <f aca="false">O15*$B$8</f>
        <v>17062.109492076</v>
      </c>
      <c r="P16" s="25" t="n">
        <f aca="false">P15*$B$8</f>
        <v>18768.3204412836</v>
      </c>
      <c r="Q16" s="25" t="n">
        <f aca="false">Q15*$B$8</f>
        <v>20645.152485412</v>
      </c>
      <c r="R16" s="25" t="n">
        <f aca="false">R15*$B$8</f>
        <v>22709.6677339532</v>
      </c>
      <c r="S16" s="25" t="n">
        <f aca="false">S15*$B$8</f>
        <v>24980.6345073485</v>
      </c>
      <c r="T16" s="25" t="n">
        <f aca="false">T15*$B$8</f>
        <v>27478.6979580834</v>
      </c>
      <c r="U16" s="25" t="n">
        <f aca="false">U15*$B$8</f>
        <v>30226.5677538917</v>
      </c>
      <c r="V16" s="25" t="n">
        <f aca="false">V15*$B$8</f>
        <v>33249.2245292809</v>
      </c>
      <c r="W16" s="25" t="n">
        <f aca="false">W15*$B$8</f>
        <v>36574.146982209</v>
      </c>
      <c r="X16" s="25" t="n">
        <f aca="false">X15*$B$8</f>
        <v>40231.5616804299</v>
      </c>
      <c r="Y16" s="25" t="n">
        <f aca="false">Y15*$B$8</f>
        <v>44254.7178484728</v>
      </c>
    </row>
    <row r="17" customFormat="false" ht="15" hidden="false" customHeight="false" outlineLevel="0" collapsed="false">
      <c r="A17" s="4" t="s">
        <v>105</v>
      </c>
      <c r="B17" s="25" t="n">
        <f aca="false">$B$9</f>
        <v>25000</v>
      </c>
      <c r="C17" s="25" t="n">
        <f aca="false">$B$9</f>
        <v>25000</v>
      </c>
      <c r="D17" s="25" t="n">
        <f aca="false">$B$9</f>
        <v>25000</v>
      </c>
      <c r="E17" s="25" t="n">
        <f aca="false">$B$9</f>
        <v>25000</v>
      </c>
      <c r="F17" s="25" t="n">
        <f aca="false">$B$9</f>
        <v>25000</v>
      </c>
      <c r="G17" s="25" t="n">
        <f aca="false">$B$9</f>
        <v>25000</v>
      </c>
      <c r="H17" s="25" t="n">
        <f aca="false">$B$9</f>
        <v>25000</v>
      </c>
      <c r="I17" s="25" t="n">
        <f aca="false">$B$9</f>
        <v>25000</v>
      </c>
      <c r="J17" s="25" t="n">
        <f aca="false">$B$9</f>
        <v>25000</v>
      </c>
      <c r="K17" s="25" t="n">
        <f aca="false">$B$9</f>
        <v>25000</v>
      </c>
      <c r="L17" s="25" t="n">
        <f aca="false">$B$9</f>
        <v>25000</v>
      </c>
      <c r="M17" s="25" t="n">
        <f aca="false">$B$9</f>
        <v>25000</v>
      </c>
      <c r="N17" s="25" t="n">
        <f aca="false">$B$9</f>
        <v>25000</v>
      </c>
      <c r="O17" s="25" t="n">
        <f aca="false">$B$9</f>
        <v>25000</v>
      </c>
      <c r="P17" s="25" t="n">
        <f aca="false">$B$9</f>
        <v>25000</v>
      </c>
      <c r="Q17" s="25" t="n">
        <f aca="false">$B$9</f>
        <v>25000</v>
      </c>
      <c r="R17" s="25" t="n">
        <f aca="false">$B$9</f>
        <v>25000</v>
      </c>
      <c r="S17" s="25" t="n">
        <f aca="false">$B$9</f>
        <v>25000</v>
      </c>
      <c r="T17" s="25" t="n">
        <f aca="false">$B$9</f>
        <v>25000</v>
      </c>
      <c r="U17" s="25" t="n">
        <f aca="false">$B$9</f>
        <v>25000</v>
      </c>
      <c r="V17" s="25" t="n">
        <f aca="false">$B$9</f>
        <v>25000</v>
      </c>
      <c r="W17" s="25" t="n">
        <f aca="false">$B$9</f>
        <v>25000</v>
      </c>
      <c r="X17" s="25" t="n">
        <f aca="false">$B$9</f>
        <v>25000</v>
      </c>
      <c r="Y17" s="25" t="n">
        <f aca="false">$B$9</f>
        <v>25000</v>
      </c>
    </row>
    <row r="18" customFormat="false" ht="15" hidden="false" customHeight="false" outlineLevel="0" collapsed="false">
      <c r="A18" s="21" t="s">
        <v>82</v>
      </c>
      <c r="B18" s="22" t="n">
        <f aca="false">B16-B17</f>
        <v>-25000</v>
      </c>
      <c r="C18" s="22" t="n">
        <f aca="false">C16-C17</f>
        <v>-25000</v>
      </c>
      <c r="D18" s="22" t="n">
        <f aca="false">D16-D17</f>
        <v>-25000</v>
      </c>
      <c r="E18" s="22" t="n">
        <f aca="false">E16-E17</f>
        <v>-18421.8181818182</v>
      </c>
      <c r="F18" s="22" t="n">
        <f aca="false">F16-F17</f>
        <v>-17764</v>
      </c>
      <c r="G18" s="22" t="n">
        <f aca="false">G16-G17</f>
        <v>-17040.4</v>
      </c>
      <c r="H18" s="22" t="n">
        <f aca="false">H16-H17</f>
        <v>-16244.44</v>
      </c>
      <c r="I18" s="22" t="n">
        <f aca="false">I16-I17</f>
        <v>-15368.884</v>
      </c>
      <c r="J18" s="22" t="n">
        <f aca="false">J16-J17</f>
        <v>-14405.7724</v>
      </c>
      <c r="K18" s="22" t="n">
        <f aca="false">K16-K17</f>
        <v>-13346.34964</v>
      </c>
      <c r="L18" s="22" t="n">
        <f aca="false">L16-L17</f>
        <v>-12180.984604</v>
      </c>
      <c r="M18" s="22" t="n">
        <f aca="false">M16-M17</f>
        <v>-10899.0830644</v>
      </c>
      <c r="N18" s="22" t="n">
        <f aca="false">N16-N17</f>
        <v>-9488.99137083999</v>
      </c>
      <c r="O18" s="22" t="n">
        <f aca="false">O16-O17</f>
        <v>-7937.89050792399</v>
      </c>
      <c r="P18" s="22" t="n">
        <f aca="false">P16-P17</f>
        <v>-6231.67955871638</v>
      </c>
      <c r="Q18" s="22" t="n">
        <f aca="false">Q16-Q17</f>
        <v>-4354.84751458802</v>
      </c>
      <c r="R18" s="22" t="n">
        <f aca="false">R16-R17</f>
        <v>-2290.33226604682</v>
      </c>
      <c r="S18" s="22" t="n">
        <f aca="false">S16-S17</f>
        <v>-19.365492651501</v>
      </c>
      <c r="T18" s="22" t="n">
        <f aca="false">T16-T17</f>
        <v>2478.69795808335</v>
      </c>
      <c r="U18" s="22" t="n">
        <f aca="false">U16-U17</f>
        <v>5226.56775389169</v>
      </c>
      <c r="V18" s="22" t="n">
        <f aca="false">V16-V17</f>
        <v>8249.22452928087</v>
      </c>
      <c r="W18" s="22" t="n">
        <f aca="false">W16-W17</f>
        <v>11574.146982209</v>
      </c>
      <c r="X18" s="22" t="n">
        <f aca="false">X16-X17</f>
        <v>15231.5616804299</v>
      </c>
      <c r="Y18" s="22" t="n">
        <f aca="false">Y16-Y17</f>
        <v>19254.7178484728</v>
      </c>
    </row>
    <row r="19" customFormat="false" ht="15" hidden="false" customHeight="false" outlineLevel="0" collapsed="false">
      <c r="A19" s="21" t="s">
        <v>156</v>
      </c>
      <c r="B19" s="18" t="n">
        <f aca="false">B18</f>
        <v>-25000</v>
      </c>
      <c r="C19" s="18" t="n">
        <f aca="false">B19+C18</f>
        <v>-50000</v>
      </c>
      <c r="D19" s="18" t="n">
        <f aca="false">C19+D18</f>
        <v>-75000</v>
      </c>
      <c r="E19" s="18" t="n">
        <f aca="false">D19+E18</f>
        <v>-93421.8181818182</v>
      </c>
      <c r="F19" s="18" t="n">
        <f aca="false">E19+F18</f>
        <v>-111185.818181818</v>
      </c>
      <c r="G19" s="18" t="n">
        <f aca="false">F19+G18</f>
        <v>-128226.218181818</v>
      </c>
      <c r="H19" s="18" t="n">
        <f aca="false">G19+H18</f>
        <v>-144470.658181818</v>
      </c>
      <c r="I19" s="18" t="n">
        <f aca="false">H19+I18</f>
        <v>-159839.542181818</v>
      </c>
      <c r="J19" s="18" t="n">
        <f aca="false">I19+J18</f>
        <v>-174245.314581818</v>
      </c>
      <c r="K19" s="18" t="n">
        <f aca="false">J19+K18</f>
        <v>-187591.664221818</v>
      </c>
      <c r="L19" s="18" t="n">
        <f aca="false">K19+L18</f>
        <v>-199772.648825818</v>
      </c>
      <c r="M19" s="18" t="n">
        <f aca="false">L19+M18</f>
        <v>-210671.731890218</v>
      </c>
      <c r="N19" s="18" t="n">
        <f aca="false">M19+N18</f>
        <v>-220160.723261058</v>
      </c>
      <c r="O19" s="18" t="n">
        <f aca="false">N19+O18</f>
        <v>-228098.613768982</v>
      </c>
      <c r="P19" s="18" t="n">
        <f aca="false">O19+P18</f>
        <v>-234330.293327699</v>
      </c>
      <c r="Q19" s="18" t="n">
        <f aca="false">P19+Q18</f>
        <v>-238685.140842287</v>
      </c>
      <c r="R19" s="18" t="n">
        <f aca="false">Q19+R18</f>
        <v>-240975.473108333</v>
      </c>
      <c r="S19" s="18" t="n">
        <f aca="false">R19+S18</f>
        <v>-240994.838600985</v>
      </c>
      <c r="T19" s="18" t="n">
        <f aca="false">S19+T18</f>
        <v>-238516.140642901</v>
      </c>
      <c r="U19" s="18" t="n">
        <f aca="false">T19+U18</f>
        <v>-233289.57288901</v>
      </c>
      <c r="V19" s="18" t="n">
        <f aca="false">U19+V18</f>
        <v>-225040.348359729</v>
      </c>
      <c r="W19" s="18" t="n">
        <f aca="false">V19+W18</f>
        <v>-213466.20137752</v>
      </c>
      <c r="X19" s="18" t="n">
        <f aca="false">W19+X18</f>
        <v>-198234.63969709</v>
      </c>
      <c r="Y19" s="18" t="n">
        <f aca="false">X19+Y18</f>
        <v>-178979.921848617</v>
      </c>
    </row>
    <row r="22" customFormat="false" ht="15" hidden="false" customHeight="false" outlineLevel="0" collapsed="false">
      <c r="A22" s="12" t="s">
        <v>135</v>
      </c>
      <c r="B22" s="13"/>
    </row>
    <row r="23" customFormat="false" ht="15" hidden="false" customHeight="false" outlineLevel="0" collapsed="false">
      <c r="A23" s="21" t="s">
        <v>157</v>
      </c>
      <c r="B23" s="26" t="n">
        <f aca="false">$B$5+ROUNDUP(LOG(B10/B6,1+B7),0)+1</f>
        <v>19</v>
      </c>
    </row>
    <row r="24" customFormat="false" ht="15" hidden="false" customHeight="false" outlineLevel="0" collapsed="false">
      <c r="A24" s="21" t="s">
        <v>158</v>
      </c>
      <c r="B24" s="18" t="n">
        <f aca="false">-MIN(B19:Y19)</f>
        <v>240994.838600985</v>
      </c>
    </row>
    <row r="25" customFormat="false" ht="15" hidden="false" customHeight="false" outlineLevel="0" collapsed="false">
      <c r="A25" s="21" t="s">
        <v>159</v>
      </c>
      <c r="B25" s="18" t="n">
        <f aca="false">B24*(1+B11)</f>
        <v>301243.548251231</v>
      </c>
    </row>
    <row r="28" customFormat="false" ht="15" hidden="false" customHeight="false" outlineLevel="0" collapsed="false">
      <c r="A28" s="24" t="s">
        <v>160</v>
      </c>
      <c r="B28" s="14"/>
      <c r="C28" s="14"/>
      <c r="D28" s="14"/>
      <c r="E28" s="14"/>
    </row>
    <row r="29" customFormat="false" ht="15" hidden="false" customHeight="false" outlineLevel="0" collapsed="false">
      <c r="A29" s="3" t="s">
        <v>161</v>
      </c>
      <c r="B29" s="3" t="s">
        <v>162</v>
      </c>
      <c r="C29" s="3" t="s">
        <v>163</v>
      </c>
      <c r="D29" s="3" t="s">
        <v>164</v>
      </c>
      <c r="E29" s="3" t="s">
        <v>165</v>
      </c>
    </row>
    <row r="30" customFormat="false" ht="15" hidden="false" customHeight="false" outlineLevel="0" collapsed="false">
      <c r="A30" s="31" t="s">
        <v>166</v>
      </c>
      <c r="B30" s="15" t="n">
        <v>1000000</v>
      </c>
      <c r="C30" s="20" t="n">
        <f aca="false">$B$25</f>
        <v>301243.548251231</v>
      </c>
      <c r="D30" s="25" t="n">
        <f aca="false">B30+C30</f>
        <v>1301243.54825123</v>
      </c>
      <c r="E30" s="39" t="n">
        <f aca="false">C30/D30</f>
        <v>0.231504354934999</v>
      </c>
    </row>
    <row r="31" customFormat="false" ht="15" hidden="false" customHeight="false" outlineLevel="0" collapsed="false">
      <c r="A31" s="31" t="s">
        <v>167</v>
      </c>
      <c r="B31" s="15" t="n">
        <v>1750000</v>
      </c>
      <c r="C31" s="20" t="n">
        <f aca="false">$B$25</f>
        <v>301243.548251231</v>
      </c>
      <c r="D31" s="25" t="n">
        <f aca="false">B31+C31</f>
        <v>2051243.54825123</v>
      </c>
      <c r="E31" s="39" t="n">
        <f aca="false">C31/D31</f>
        <v>0.146858986349063</v>
      </c>
    </row>
    <row r="32" customFormat="false" ht="15" hidden="false" customHeight="false" outlineLevel="0" collapsed="false">
      <c r="A32" s="31" t="s">
        <v>168</v>
      </c>
      <c r="B32" s="15" t="n">
        <v>2500000</v>
      </c>
      <c r="C32" s="20" t="n">
        <f aca="false">$B$25</f>
        <v>301243.548251231</v>
      </c>
      <c r="D32" s="25" t="n">
        <f aca="false">B32+C32</f>
        <v>2801243.54825123</v>
      </c>
      <c r="E32" s="39" t="n">
        <f aca="false">C32/D32</f>
        <v>0.107539220729055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8"/>
    <col collapsed="false" customWidth="true" hidden="false" outlineLevel="0" max="3" min="3" style="0" width="13"/>
    <col collapsed="false" customWidth="true" hidden="false" outlineLevel="0" max="4" min="4" style="0" width="32"/>
    <col collapsed="false" customWidth="true" hidden="false" outlineLevel="0" max="5" min="5" style="0" width="10"/>
  </cols>
  <sheetData>
    <row r="1" customFormat="false" ht="17.35" hidden="false" customHeight="false" outlineLevel="0" collapsed="false">
      <c r="A1" s="1" t="s">
        <v>169</v>
      </c>
    </row>
    <row r="2" customFormat="false" ht="15" hidden="false" customHeight="false" outlineLevel="0" collapsed="false">
      <c r="A2" s="2" t="s">
        <v>170</v>
      </c>
    </row>
    <row r="4" customFormat="false" ht="15" hidden="false" customHeight="false" outlineLevel="0" collapsed="false">
      <c r="A4" s="3" t="s">
        <v>171</v>
      </c>
      <c r="B4" s="3" t="s">
        <v>172</v>
      </c>
      <c r="C4" s="3" t="s">
        <v>173</v>
      </c>
      <c r="D4" s="3" t="s">
        <v>174</v>
      </c>
      <c r="E4" s="3" t="s">
        <v>175</v>
      </c>
    </row>
    <row r="5" customFormat="false" ht="35.05" hidden="false" customHeight="false" outlineLevel="0" collapsed="false">
      <c r="A5" s="40" t="s">
        <v>176</v>
      </c>
      <c r="B5" s="41" t="s">
        <v>177</v>
      </c>
      <c r="C5" s="42" t="s">
        <v>178</v>
      </c>
      <c r="D5" s="41" t="s">
        <v>179</v>
      </c>
      <c r="E5" s="43" t="s">
        <v>180</v>
      </c>
    </row>
    <row r="6" customFormat="false" ht="15" hidden="false" customHeight="false" outlineLevel="0" collapsed="false">
      <c r="A6" s="40" t="s">
        <v>181</v>
      </c>
      <c r="B6" s="41" t="s">
        <v>182</v>
      </c>
      <c r="C6" s="42" t="s">
        <v>183</v>
      </c>
      <c r="D6" s="41" t="s">
        <v>184</v>
      </c>
      <c r="E6" s="43" t="s">
        <v>180</v>
      </c>
    </row>
    <row r="7" customFormat="false" ht="15" hidden="false" customHeight="false" outlineLevel="0" collapsed="false">
      <c r="A7" s="40" t="s">
        <v>181</v>
      </c>
      <c r="B7" s="41" t="s">
        <v>185</v>
      </c>
      <c r="C7" s="42" t="s">
        <v>186</v>
      </c>
      <c r="D7" s="41" t="s">
        <v>187</v>
      </c>
      <c r="E7" s="43" t="s">
        <v>180</v>
      </c>
    </row>
    <row r="8" customFormat="false" ht="23.85" hidden="false" customHeight="false" outlineLevel="0" collapsed="false">
      <c r="A8" s="40" t="s">
        <v>181</v>
      </c>
      <c r="B8" s="41" t="s">
        <v>188</v>
      </c>
      <c r="C8" s="42" t="s">
        <v>178</v>
      </c>
      <c r="D8" s="41" t="s">
        <v>189</v>
      </c>
      <c r="E8" s="43" t="s">
        <v>180</v>
      </c>
    </row>
    <row r="9" customFormat="false" ht="15" hidden="false" customHeight="false" outlineLevel="0" collapsed="false">
      <c r="A9" s="40" t="s">
        <v>190</v>
      </c>
      <c r="B9" s="41" t="s">
        <v>191</v>
      </c>
      <c r="C9" s="42" t="s">
        <v>192</v>
      </c>
      <c r="D9" s="41" t="s">
        <v>193</v>
      </c>
      <c r="E9" s="44" t="s">
        <v>194</v>
      </c>
    </row>
    <row r="10" customFormat="false" ht="23.85" hidden="false" customHeight="false" outlineLevel="0" collapsed="false">
      <c r="A10" s="40" t="s">
        <v>195</v>
      </c>
      <c r="B10" s="41" t="s">
        <v>196</v>
      </c>
      <c r="C10" s="42" t="s">
        <v>197</v>
      </c>
      <c r="D10" s="41" t="s">
        <v>198</v>
      </c>
      <c r="E10" s="43" t="s">
        <v>180</v>
      </c>
    </row>
    <row r="11" customFormat="false" ht="23.85" hidden="false" customHeight="false" outlineLevel="0" collapsed="false">
      <c r="A11" s="40" t="s">
        <v>195</v>
      </c>
      <c r="B11" s="41" t="s">
        <v>199</v>
      </c>
      <c r="C11" s="42" t="s">
        <v>178</v>
      </c>
      <c r="D11" s="41" t="s">
        <v>200</v>
      </c>
      <c r="E11" s="43" t="s">
        <v>180</v>
      </c>
    </row>
    <row r="12" customFormat="false" ht="23.85" hidden="false" customHeight="false" outlineLevel="0" collapsed="false">
      <c r="A12" s="40" t="s">
        <v>5</v>
      </c>
      <c r="B12" s="41" t="s">
        <v>201</v>
      </c>
      <c r="C12" s="42" t="s">
        <v>178</v>
      </c>
      <c r="D12" s="41" t="s">
        <v>202</v>
      </c>
      <c r="E12" s="44" t="s">
        <v>194</v>
      </c>
    </row>
    <row r="13" customFormat="false" ht="23.85" hidden="false" customHeight="false" outlineLevel="0" collapsed="false">
      <c r="A13" s="40" t="s">
        <v>203</v>
      </c>
      <c r="B13" s="41" t="s">
        <v>204</v>
      </c>
      <c r="C13" s="42" t="s">
        <v>178</v>
      </c>
      <c r="D13" s="41" t="s">
        <v>205</v>
      </c>
      <c r="E13" s="43" t="s">
        <v>180</v>
      </c>
    </row>
    <row r="15" customFormat="false" ht="15" hidden="false" customHeight="false" outlineLevel="0" collapsed="false">
      <c r="A15" s="45" t="s">
        <v>206</v>
      </c>
      <c r="B15" s="45"/>
      <c r="C15" s="45"/>
      <c r="D15" s="45"/>
      <c r="E15" s="45"/>
    </row>
    <row r="17" customFormat="false" ht="15" hidden="false" customHeight="false" outlineLevel="0" collapsed="false">
      <c r="A17" s="46" t="s">
        <v>207</v>
      </c>
      <c r="B17" s="46"/>
      <c r="C17" s="46"/>
      <c r="D17" s="46"/>
      <c r="E17" s="46"/>
    </row>
  </sheetData>
  <mergeCells count="2">
    <mergeCell ref="A15:E15"/>
    <mergeCell ref="A17:E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2026-06-26T06:36:27Z</dcterms:created>
  <dc:creator>openpyxl</dc:creator>
  <dc:description/>
  <dc:language>en-US</dc:language>
  <cp:lastModifiedBy/>
  <dcterms:modified xsi:type="dcterms:W3CDTF">2026-06-26T06:36:27Z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