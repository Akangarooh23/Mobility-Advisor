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napi\Projects\Mobility-Advisor\"/>
    </mc:Choice>
  </mc:AlternateContent>
  <xr:revisionPtr revIDLastSave="0" documentId="8_{4860C9E1-3108-4312-8653-9E9B062C4BDD}" xr6:coauthVersionLast="47" xr6:coauthVersionMax="47" xr10:uidLastSave="{00000000-0000-0000-0000-000000000000}"/>
  <bookViews>
    <workbookView xWindow="-120" yWindow="-120" windowWidth="29040" windowHeight="15720" tabRatio="500" xr2:uid="{00000000-000D-0000-FFFF-FFFF00000000}"/>
  </bookViews>
  <sheets>
    <sheet name="Resumen" sheetId="1" r:id="rId1"/>
    <sheet name="Simulador" sheetId="2" r:id="rId2"/>
    <sheet name="1_Matriculacion" sheetId="3" r:id="rId3"/>
    <sheet name="2_ITV_Homologacion" sheetId="4" r:id="rId4"/>
    <sheet name="3_Placas_Transferencia" sheetId="5" r:id="rId5"/>
    <sheet name="4_Transporte" sheetId="6" r:id="rId6"/>
    <sheet name="Fuente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0" i="6" l="1"/>
  <c r="B33" i="2" s="1"/>
  <c r="B19" i="6"/>
  <c r="B33" i="5"/>
  <c r="E17" i="5"/>
  <c r="E16" i="5"/>
  <c r="E15" i="5"/>
  <c r="E14" i="5"/>
  <c r="E13" i="5"/>
  <c r="E12" i="5"/>
  <c r="E11" i="5"/>
  <c r="E10" i="5"/>
  <c r="B11" i="4"/>
  <c r="B12" i="4" s="1"/>
  <c r="B32" i="2"/>
  <c r="B34" i="2" s="1"/>
  <c r="B28" i="2"/>
  <c r="B27" i="2"/>
  <c r="B29" i="2" s="1"/>
  <c r="B23" i="2"/>
  <c r="B18" i="2"/>
  <c r="B17" i="2"/>
  <c r="B19" i="2" s="1"/>
  <c r="B16" i="2"/>
  <c r="B22" i="2" l="1"/>
  <c r="B24" i="2" s="1"/>
  <c r="B36" i="2" s="1"/>
  <c r="B17" i="4"/>
  <c r="B16" i="4"/>
</calcChain>
</file>

<file path=xl/sharedStrings.xml><?xml version="1.0" encoding="utf-8"?>
<sst xmlns="http://schemas.openxmlformats.org/spreadsheetml/2006/main" count="243" uniqueCount="215">
  <si>
    <t>PopCar — Estructura de costes: importación de vehículos Alemania → España</t>
  </si>
  <si>
    <t>Este libro recoge, para cada partida de coste, las tablas oficiales/de referencia, las fórmulas de cálculo, las tarifas reales de vuestro proveedor de gestoría y las fuentes consultadas (sep. 2026). Incluye una hoja 'Simulador' para calcular el coste total de un vehículo concreto.</t>
  </si>
  <si>
    <t>Contenido del libro</t>
  </si>
  <si>
    <t>Hoja</t>
  </si>
  <si>
    <t>Contenido</t>
  </si>
  <si>
    <t>Simulador</t>
  </si>
  <si>
    <t>Calculadora del coste total de importación para un vehículo concreto (rellenar celdas amarillas).</t>
  </si>
  <si>
    <t>1_Matriculacion</t>
  </si>
  <si>
    <t>IEDMT: tramos por CO2, coeficientes de depreciación, cómo se fija el valor base y qué CCAA aplica.</t>
  </si>
  <si>
    <t>2_ITV_Homologacion</t>
  </si>
  <si>
    <t>Ficha técnica reducida + inspección ITV de matriculación en Aragón (cifras máximas, siempre COC válido).</t>
  </si>
  <si>
    <t>3_Placas_Transferencia</t>
  </si>
  <si>
    <t>Tarifas REALES de vuestro proveedor de gestoría (gestión + tasa DGT + colegio) y placas físicas.</t>
  </si>
  <si>
    <t>4_Transporte</t>
  </si>
  <si>
    <t>Transporte Alemania→Zaragoza (750€ real) y Zaragoza→destino final (fijo, 300€+IVA).</t>
  </si>
  <si>
    <t>Fuentes</t>
  </si>
  <si>
    <t>Listado de todas las fuentes consultadas, por partida.</t>
  </si>
  <si>
    <t>Novedades en esta versión (a partir de vuestro feedback)</t>
  </si>
  <si>
    <t>•  IEDMT: se explica de dónde sale el valor que se deprecia (tablas Hacienda vs. factura de compra) y qué CCAA aplica.</t>
  </si>
  <si>
    <t>•  ITV: se asume siempre COC válido (compráis así por norma) y se usan las cifras MÁXIMAS de cada rango, de cara a curarse en salud.</t>
  </si>
  <si>
    <t>•  Placas/gestión: sustituidas las estimaciones públicas por la tabla de tarifas real de vuestro proveedor de gestoría.</t>
  </si>
  <si>
    <t>•  Transporte Alemania→Zaragoza: sustituida la media orientativa por el coste real que os cobra el transportista (750€).</t>
  </si>
  <si>
    <t>Aviso importante</t>
  </si>
  <si>
    <t>Las tasas ITV y los precios de transporte de ejemplo proceden de blogs/comparadores (no siempre la fuente oficial primaria) y cambian cada año — confirmad los importes ITV vigentes con la estación de Zaragoza. El recargo autonómico del IEDMT en Aragón NO se ha podido confirmar con una fuente fiable (ver hoja 1_Matriculacion): preguntad a vuestro proveedor de gestoría, que lo aplica a diario.</t>
  </si>
  <si>
    <t>SIMULADOR — COSTE TOTAL DE IMPORTACIÓN (ALEMANIA → ESPAÑA)</t>
  </si>
  <si>
    <t>Rellena las celdas amarillas (columna B) con los datos del vehículo. El resto se calcula solo.</t>
  </si>
  <si>
    <t>DATOS DEL VEHÍCULO Y DE LA OPERACIÓN</t>
  </si>
  <si>
    <t>Valor de mercado (tabla Hacienda) o precio de factura (€, sin IVA alemán)</t>
  </si>
  <si>
    <t>Antigüedad del vehículo (años)</t>
  </si>
  <si>
    <t>Emisiones CO2 WLTP (g/km)</t>
  </si>
  <si>
    <t>Tipo de combustible (gasolina / diesel)</t>
  </si>
  <si>
    <t>gasolina</t>
  </si>
  <si>
    <t>¿Aplicar recargo autonómico IEDMT +15%? (SI/NO)</t>
  </si>
  <si>
    <t>NO</t>
  </si>
  <si>
    <t>El valor de arriba es: TABLA (valor oficial Hacienda) o FACTURA (precio real de compra)</t>
  </si>
  <si>
    <t>FACTURA</t>
  </si>
  <si>
    <t>Ciudad de origen en Alemania (referencia)</t>
  </si>
  <si>
    <t>Múnich</t>
  </si>
  <si>
    <t>Coste real de transporte Alemania→Zaragoza (€, dejar en blanco = usar 750€ por defecto)</t>
  </si>
  <si>
    <t>Destino final del cliente en España</t>
  </si>
  <si>
    <t>Zaragoza ciudad</t>
  </si>
  <si>
    <t>1. IMPUESTO DE MATRICULACIÓN (IEDMT)</t>
  </si>
  <si>
    <t>Coeficiente de depreciación (solo se usa si el valor es de TABLA)</t>
  </si>
  <si>
    <t>Base imponible estimada (€)</t>
  </si>
  <si>
    <t>Tipo impositivo aplicable (según CO2)</t>
  </si>
  <si>
    <t>Subtotal IEDMT (€)</t>
  </si>
  <si>
    <t>2. ITV DE HOMOLOGACIÓN / MATRICULACIÓN (cifras máximas, COC siempre válido)</t>
  </si>
  <si>
    <t>Ficha técnica reducida (con IVA, valor máximo)</t>
  </si>
  <si>
    <t>Inspección ITV de matriculación (según combustible)</t>
  </si>
  <si>
    <t>Subtotal ITV homologación (€)</t>
  </si>
  <si>
    <t>3. GESTIÓN, TASA DGT Y PLACAS (tarifa real del proveedor)</t>
  </si>
  <si>
    <t>Gestión + tasa DGT + colegio (trámite: Transferencia — ver hoja 3 para alternativa con ITP)</t>
  </si>
  <si>
    <t>Placas de matrícula físicas (estimación, no incluida en tarifa proveedor)</t>
  </si>
  <si>
    <t>Subtotal gestión + placas (€)</t>
  </si>
  <si>
    <t>4. TRANSPORTE</t>
  </si>
  <si>
    <t>Tramo Alemania → Zaragoza (real si se indicó en B; si no, 750€ por defecto)</t>
  </si>
  <si>
    <t>Tramo Zaragoza → destino final (con IVA)</t>
  </si>
  <si>
    <t>Subtotal transporte (€)</t>
  </si>
  <si>
    <t>COSTE TOTAL ESTIMADO DE IMPORTACIÓN (€)</t>
  </si>
  <si>
    <t>No incluye: IVA de compra del vehículo en Alemania (si aplica), impuesto de circulación anual (IVTM), honorarios de gestoría adicionales de PopCar, ni margen comercial. Estas partidas no se pidieron en el encargo original pero se pueden añadir como filas adicionales si se necesitan.</t>
  </si>
  <si>
    <t>IMPUESTO DE MATRICULACIÓN (IEDMT) — Modelo 576</t>
  </si>
  <si>
    <t>Fórmula: Impuesto = Base imponible × Tipo impositivo (según CO2 del vehículo)</t>
  </si>
  <si>
    <t>Base imponible (vehículo usado) = Valor de mercado × Coeficiente de depreciación por antigüedad — PERO el origen de ese 'valor de mercado' depende del caso: ver explicación más abajo.</t>
  </si>
  <si>
    <t>Fuente tramos CO2: RACE (race.es/impuesto-matriculacion-coche) y Agencia Tributaria (sede.agenciatributaria.gob.es).</t>
  </si>
  <si>
    <t>TABLA A — Tipos impositivos según emisiones de CO2 (turismos)</t>
  </si>
  <si>
    <t>CO2 desde (g/km, incl.)</t>
  </si>
  <si>
    <t>CO2 hasta (g/km, incl.)</t>
  </si>
  <si>
    <t>Tipo estatal</t>
  </si>
  <si>
    <t>Tipo con recargo autonómico máx. (+15%)</t>
  </si>
  <si>
    <t>≥ 200</t>
  </si>
  <si>
    <t>Las Comunidades Autónomas pueden incrementar los tipos estatales hasta un 15%. La columna D es el MÁXIMO legal posible, no necesariamente lo que aplica Aragón hoy (ver aviso más abajo).</t>
  </si>
  <si>
    <t>Tramo 0% incluye vehículos eléctricos puros y determinados híbridos enchufables/autónomos de largo alcance según normativa vigente.</t>
  </si>
  <si>
    <t>TABLA B — Coeficientes de depreciación por antigüedad (solo aplicable al 'Camino 1', ver más abajo)</t>
  </si>
  <si>
    <t>Antigüedad desde (años, incl.)</t>
  </si>
  <si>
    <t>Antigüedad hasta (años, excl.)</t>
  </si>
  <si>
    <t>% del valor</t>
  </si>
  <si>
    <t>&gt; 12</t>
  </si>
  <si>
    <t>Fuente: tablas de coeficientes de depreciación de Hacienda para valoración fiscal de vehículos usados (aplicables a IEDMT e ITP).</t>
  </si>
  <si>
    <t>¿DE DÓNDE SALE EL VALOR QUE SE DEPRECIA? (respuesta a vuestra pregunta)</t>
  </si>
  <si>
    <t>El 'valor de mercado' NO es, en general, el precio de venta cuando el coche era nuevo: es uno de estos dos valores, según el caso — y son excluyentes entre sí (no se depreciar dos veces).</t>
  </si>
  <si>
    <t>CAMINO 1 — El modelo/versión concreto está en las tablas oficiales de valoración que Hacienda aprueba cada año (Orden HAC, p.ej. Orden HAC/1501/2025 para 2026, BOE): se toma el valor de esa tabla para ese modelo/año y SE LE APLICA la Tabla B (coeficiente por antigüedad).</t>
  </si>
  <si>
    <t>CAMINO 2 — El modelo/versión NO está en esas tablas (muy habitual en versiones de mercado alemán que nunca se comercializaron oficialmente en España): se declara directamente el valor de mercado real del vehículo — normalmente el precio de la factura de compra — SIN aplicar depreciación adicional. La factura de un coche usado ya refleja su valor actual; volver a depreciarla infravaloraría la base imponible. Hacienda puede comprobar el valor si lo considera anormalmente bajo.</t>
  </si>
  <si>
    <t>En la práctica de importación de coches alemanes de versión no vendida en España, el Camino 2 (factura real) es el más habitual.</t>
  </si>
  <si>
    <t>Fuente: instrucciones del Modelo 576 (Agencia Tributaria) y Orden HAC/1501/2025 (BOE) de precios medios de venta.</t>
  </si>
  <si>
    <t>¿QUÉ COMUNIDAD AUTÓNOMA APLICA? (respuesta a vuestra pregunta)</t>
  </si>
  <si>
    <t>El tipo (incluido el posible recargo de la columna D) es, en principio, el de la Comunidad Autónoma del DOMICILIO FISCAL REAL del titular que matricula el vehículo (su empadronamiento) — no el de la comunidad donde a PopCar le interese matricular. La normativa de cesión de tributos vincula el impuesto al domicilio fiscal real del sujeto pasivo.</t>
  </si>
  <si>
    <t>Matricular en una provincia/CCAA distinta de la residencia real del cliente para pagar menos, y cambiar después el domicilio en el permiso de circulación, es una práctica de riesgo fiscal (análoga a las 'banderas de conveniencia' que Hacienda persigue en el IVTM): si se detecta que el domicilio declarado no era el real en el momento de matricular, la Administración puede exigir la diferencia de impuesto, con recargos e intereses. Esto no es asesoramiento legal — consultad con un abogado/asesor fiscal antes de adoptar esta práctica como política de empresa.</t>
  </si>
  <si>
    <t>Recomendación práctica: matricular siempre con el domicilio fiscal real del cliente final (donde vaya a estar domiciliado el vehículo).</t>
  </si>
  <si>
    <t>No hemos podido confirmar con una fuente pública fiable si Aragón tiene hoy un recargo autonómico aprobado sobre el tipo estatal del IEDMT. Vía más rápida y fiable: preguntad directamente a vuestro proveedor de gestoría (el de la tabla de tarifas de la hoja 3) — lo aplican a diario. Alternativa oficial: Agencia Tributaria de Aragón.</t>
  </si>
  <si>
    <t>ITV DE HOMOLOGACIÓN / MATRICULACIÓN — VEHÍCULO IMPORTADO UE (ALEMANIA)</t>
  </si>
  <si>
    <t>Asunción de negocio: todos los vehículos se compran con Certificado de Conformidad (COC) europeo válido. Por tanto, NO se necesita homologación individual (ese trámite, de 1.500-3.500€, solo aplica a vehículos sin homologación europea — procedencia extra-UE o reformas no homologadas — y no debería daros nunca con vuestro modelo de compra).</t>
  </si>
  <si>
    <t>Para curarse en salud, se usa el valor MÁXIMO de cada rango de mercado (no la media), de forma que el coste real nunca debería superar la estimación.</t>
  </si>
  <si>
    <t>TABLA — Costes ITV / homologación (vehículo con COC válido)</t>
  </si>
  <si>
    <t>Concepto</t>
  </si>
  <si>
    <t>Coste (€)</t>
  </si>
  <si>
    <t>Fuente / nota</t>
  </si>
  <si>
    <t>Ficha técnica reducida (turismo/furgoneta), base sin IVA — valor MÁXIMO de mercado</t>
  </si>
  <si>
    <t>Rango de mercado 45-70€+IVA (ingeniauto.es). Se usa el máximo (70€) a propósito.</t>
  </si>
  <si>
    <t>IVA sobre ficha reducida (21%)</t>
  </si>
  <si>
    <t>Ficha técnica reducida, total con IVA</t>
  </si>
  <si>
    <t>Inspección ITV de matriculación — turismo GASOLINA (Aragón, 2026)</t>
  </si>
  <si>
    <t>Tarifas ITV Aragón 2026 (atarvez.com) — verificar tarifa oficial en itv.es</t>
  </si>
  <si>
    <t>Inspección ITV de matriculación — turismo DIÉSEL (Aragón, 2026)</t>
  </si>
  <si>
    <t>COSTE TOTAL ITV homologación — GASOLINA (€, máximo)</t>
  </si>
  <si>
    <t>COSTE TOTAL ITV homologación — DIÉSEL (€, máximo)</t>
  </si>
  <si>
    <t>Referencia (NO aplica a vuestro modelo de compra — solo si algún día comprarais un vehículo SIN COC válido): homologación individual completa 1.500-3.500€; sustitución de COC extraviado 300-800€ (needcarhelp.es).</t>
  </si>
  <si>
    <t>Recomendación: confirmar con la estación ITV de Zaragoza el importe exacto vigente y si el modelo concreto está ya en su base de datos (algunos vehículos recientes no requieren ficha reducida).</t>
  </si>
  <si>
    <t>GESTIÓN, TASAS DGT Y PLACAS — TARIFAS REALES DE VUESTRO PROVEEDOR</t>
  </si>
  <si>
    <t>Al importar de Alemania, el trámite en DGT es una matriculación/alta de titularidad a nombre del cliente final — no una transferencia entre dos titulares ya matriculados en España. Vuestro proveedor factura este tipo de trámite bajo las tarifas de 'transferencia' de esta tabla (tal como nos habéis indicado), por lo que se ha tomado como fila por defecto la de TRANSFERENCIAS.</t>
  </si>
  <si>
    <t>Supuesto por defecto: compra con factura de un vendedor profesional en Alemania (sin ITP). Si en algún caso concreto compráis a un particular alemán y aplica ITP/Modelo 620, usad manualmente la fila 'TRANSFERENCIA CON ITP O MODELO 620' en el Simulador.</t>
  </si>
  <si>
    <t>Tarifario proveedor (gestión + tasa DGT + cuota colegio de gestores)</t>
  </si>
  <si>
    <t>Gestión (€)</t>
  </si>
  <si>
    <t>Tasa DGT (€)</t>
  </si>
  <si>
    <t>Colegio (€)</t>
  </si>
  <si>
    <t>TOTAL (€)</t>
  </si>
  <si>
    <t>Nota</t>
  </si>
  <si>
    <t>TRANSFERENCIAS</t>
  </si>
  <si>
    <t>Fila usada por defecto en el Simulador (importación con factura de profesional).</t>
  </si>
  <si>
    <t>TRANSFERENCIA CON ITP O MODELO 620</t>
  </si>
  <si>
    <t>Usar si la compra es a un particular y aplica ITP/Modelo 620.</t>
  </si>
  <si>
    <t>TRANSFERENCIA Y NOTIFICACIÓN DE TRANSMISIÓN O VICEVERSA</t>
  </si>
  <si>
    <t>INFORME DE TRÁFICO</t>
  </si>
  <si>
    <t>BAJA TRÁNSITO COMUNITARIO / EXPORTACIÓN / TEMPORAL, ETC.</t>
  </si>
  <si>
    <t>DUPLICADO PERMISO DE CIRCULACIÓN</t>
  </si>
  <si>
    <t>DUPLICADO FICHA TÉCNICA ELECTRÓNICA</t>
  </si>
  <si>
    <t>BAJA TEMPORAL POR ENTREGA A COMPRAVENTA</t>
  </si>
  <si>
    <t>Otras tarifas del proveedor sin importe fijo (coste variable 'según gestión')</t>
  </si>
  <si>
    <t>Tasa DGT</t>
  </si>
  <si>
    <t>Colegio</t>
  </si>
  <si>
    <t>SOLICITAR Y RECOGER CARTA FINANCIERA Y CANCELAR EN REGISTRO</t>
  </si>
  <si>
    <t>Según gestión</t>
  </si>
  <si>
    <t>—</t>
  </si>
  <si>
    <t>CRD EN REGISTRO</t>
  </si>
  <si>
    <t>CAMBIO DOMICILIO EN PERMISO DE CIRCULACIÓN</t>
  </si>
  <si>
    <t>3,20€ colegio</t>
  </si>
  <si>
    <t>IMPUESTO VEHÍCULOS TRACCIÓN MECÁNICA (V.O.) MADRID/PUEBLOS</t>
  </si>
  <si>
    <t>Según IVTM</t>
  </si>
  <si>
    <t>CONSULTAS MULTAS TESTRA O DGT</t>
  </si>
  <si>
    <t>CAMBIO DE SERVICIO EN FT (ITV), TASA INDUSTRIA</t>
  </si>
  <si>
    <t>35,00€</t>
  </si>
  <si>
    <t>CAMBIO DE SERVICIO EN PC URGENTE (24-48h)</t>
  </si>
  <si>
    <t>Placas físicas de matrícula (no incluidas en la tarifa del proveedor)</t>
  </si>
  <si>
    <t>Placas de matrícula físicas nuevas (juego delantera+trasera)</t>
  </si>
  <si>
    <t>Estimación pública (18-30€, tramitesvehiculo.es) — vuestro proveedor no lo incluye en su tarifario; confirmar coste real con el proveedor de placas.</t>
  </si>
  <si>
    <t>COSTE TOTAL matriculación/transferencia (proveedor) + placas (€)</t>
  </si>
  <si>
    <t>TRANSPORTE DEL VEHÍCULO</t>
  </si>
  <si>
    <t>Tramo 1 — Alemania → Zaragoza (ITV y puesta a punto)</t>
  </si>
  <si>
    <t>Coste real acordado con vuestro transportista habitual</t>
  </si>
  <si>
    <t>Dato real proporcionado por PopCar (sep. 2026). Valor usado por defecto en el Simulador.</t>
  </si>
  <si>
    <t>Referencia de mercado (para contrastar el precio anterior)</t>
  </si>
  <si>
    <t>Ruta de ejemplo</t>
  </si>
  <si>
    <t>Coste aprox. (€)</t>
  </si>
  <si>
    <t>Fuente</t>
  </si>
  <si>
    <t>Múnich → Madrid</t>
  </si>
  <si>
    <t>caralyze.es</t>
  </si>
  <si>
    <t>Hamburgo → Barcelona</t>
  </si>
  <si>
    <t>Frankfurt → Sevilla</t>
  </si>
  <si>
    <t>Rango general observado Alemania → España</t>
  </si>
  <si>
    <t>400 - 1.100</t>
  </si>
  <si>
    <t>eurotransportcar.com</t>
  </si>
  <si>
    <t>Los 750€ reales que os cobra vuestro transportista están dentro/por debajo del rango de mercado observado, así que parece un precio razonable. Si cambiáis de transportista o de zona habitual de origen en Alemania, actualizad la celda B5 de esta hoja.</t>
  </si>
  <si>
    <t>Tramo 2 — Zaragoza → destino final del cliente (coste fijo con margen)</t>
  </si>
  <si>
    <t>Coste base tramo Zaragoza → destino (sin IVA)</t>
  </si>
  <si>
    <t>Dato interno PopCar: importe fijo estimado con margen/colchón, independiente del destino en península.</t>
  </si>
  <si>
    <t>IVA (21%)</t>
  </si>
  <si>
    <t>COSTE TOTAL tramo Zaragoza → destino final (con IVA)</t>
  </si>
  <si>
    <t>FUENTES CONSULTADAS</t>
  </si>
  <si>
    <t>Partida</t>
  </si>
  <si>
    <t>URL</t>
  </si>
  <si>
    <t>IEDMT - tramos CO2</t>
  </si>
  <si>
    <t>RACE</t>
  </si>
  <si>
    <t>https://www.race.es/impuesto-matriculacion-coche</t>
  </si>
  <si>
    <t>IEDMT - tramos CO2 / normativa</t>
  </si>
  <si>
    <t>Agencia Tributaria</t>
  </si>
  <si>
    <t>https://sede.agenciatributaria.gob.es/Sede/impuestos-tasas/impuesto-matriculacion.html</t>
  </si>
  <si>
    <t>IEDMT - depreciación por antigüedad</t>
  </si>
  <si>
    <t>noticias.coches.com</t>
  </si>
  <si>
    <t>https://noticias.coches.com/consejos/valor-hacienda-coche/399888</t>
  </si>
  <si>
    <t>IEDMT - base imponible (Modelo 576)</t>
  </si>
  <si>
    <t>Agencia Tributaria - Instrucciones</t>
  </si>
  <si>
    <t>https://sede.agenciatributaria.gob.es/Sede/todas-gestiones/impuestos-tasas/impuesto-matriculacion/modelo-576-impue_____eterminados-medios-transporte-autoliquidacion_/instrucciones.html</t>
  </si>
  <si>
    <t>IEDMT - precios medios de venta 2026</t>
  </si>
  <si>
    <t>BOE - Orden HAC/1501/2025</t>
  </si>
  <si>
    <t>https://www.boe.es/diario_boe/txt.php?id=BOE-A-2025-26357</t>
  </si>
  <si>
    <t>IEDMT - base imponible / CCAA aplicable</t>
  </si>
  <si>
    <t>RO-DES</t>
  </si>
  <si>
    <t>https://www.ro-des.com/info/dgt/impuesto-de-matriculacion-de-coches/</t>
  </si>
  <si>
    <t>IEDMT - domicilio fiscal / provincia de matriculación</t>
  </si>
  <si>
    <t>MatricularCoches.com</t>
  </si>
  <si>
    <t>https://www.matricularcoches.com/como-elegir-la-provincia-y-municipio-fiscal-para-matricular-un-vehiculo-si-tienes-mas-de-una-residencia-guia/</t>
  </si>
  <si>
    <t>Matriculación vehículo procedente de la UE</t>
  </si>
  <si>
    <t>DGT</t>
  </si>
  <si>
    <t>https://www.dgt.es/nuestros-servicios/tu-vehiculo/quieres-traer-o-llevarte-un-vehiculo-del-extranjero/matricular-un-vehiculo-proveniente-de-la-ue/</t>
  </si>
  <si>
    <t>Ficha técnica reducida - precio</t>
  </si>
  <si>
    <t>Ingeniauto</t>
  </si>
  <si>
    <t>https://ingeniauto.es/ficha-tecnica-reducida/precio-ficha-tecnica-reducida/</t>
  </si>
  <si>
    <t>Homologación individual / COC / importación</t>
  </si>
  <si>
    <t>NeedCarHelp</t>
  </si>
  <si>
    <t>https://needcarhelp.es/blog/importar-coche-alemania/</t>
  </si>
  <si>
    <t>Tarifas ITV Aragón 2026</t>
  </si>
  <si>
    <t>Atarvez</t>
  </si>
  <si>
    <t>https://atarvez.com/nuevas-tarifas-itv-aragon-2026/</t>
  </si>
  <si>
    <t>Gestión/tasas/colegio - trámites DGT</t>
  </si>
  <si>
    <t>Tarifario proveedor de PopCar (dato interno)</t>
  </si>
  <si>
    <t>Precio placas de matrícula</t>
  </si>
  <si>
    <t>TramitesVehiculo.es</t>
  </si>
  <si>
    <t>https://tramitesvehiculo.es/placas-de-matricula/</t>
  </si>
  <si>
    <t>Transporte Alemania-España, ejemplos de rutas</t>
  </si>
  <si>
    <t>Caralyze</t>
  </si>
  <si>
    <t>https://caralyze.es/blog/transporte-coches-europa-precios-pais-2026/</t>
  </si>
  <si>
    <t>Transporte Alemania-España, rango de precio</t>
  </si>
  <si>
    <t>Eurotransportcar</t>
  </si>
  <si>
    <t>https://www.eurotransportcar.com/es/cuanto-cuesta-el-transporte-de-un-coche-de-alemania-a-espa%C3%B1a</t>
  </si>
  <si>
    <t>Transporte Alemania-Zaragoza, coste real</t>
  </si>
  <si>
    <t>Transportista habitual de PopCar (dato interno)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</si>
</sst>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1"/>
    </font>
    <font>
      <b/>
      <sz val="14"/>
      <color rgb="FF1F4E78"/>
      <name val="Arial"/>
      <family val="2"/>
    </font>
    <font>
      <i/>
      <sz val="10"/>
      <color rgb="FF595959"/>
      <name val="Arial"/>
      <family val="2"/>
    </font>
    <font>
      <b/>
      <sz val="11"/>
      <color rgb="FF1F4E78"/>
      <name val="Arial"/>
      <family val="2"/>
    </font>
    <font>
      <b/>
      <sz val="10"/>
      <color rgb="FFFFFFFF"/>
      <name val="Arial"/>
      <family val="2"/>
    </font>
    <font>
      <b/>
      <sz val="10"/>
      <color rgb="FF1F4E78"/>
      <name val="Arial"/>
      <family val="2"/>
    </font>
    <font>
      <sz val="10"/>
      <color rgb="FF000000"/>
      <name val="Arial"/>
      <family val="2"/>
    </font>
    <font>
      <sz val="9"/>
      <color rgb="FF000000"/>
      <name val="Arial"/>
      <family val="2"/>
    </font>
    <font>
      <sz val="9"/>
      <color rgb="FF595959"/>
      <name val="Arial"/>
      <family val="2"/>
    </font>
    <font>
      <b/>
      <sz val="13"/>
      <color rgb="FF1F4E78"/>
      <name val="Arial"/>
      <family val="2"/>
    </font>
    <font>
      <i/>
      <sz val="9"/>
      <color rgb="FF595959"/>
      <name val="Arial"/>
      <family val="2"/>
    </font>
    <font>
      <sz val="10"/>
      <color rgb="FF0000FF"/>
      <name val="Arial"/>
      <family val="2"/>
    </font>
    <font>
      <sz val="10"/>
      <color rgb="FF008000"/>
      <name val="Arial"/>
      <family val="2"/>
    </font>
    <font>
      <b/>
      <sz val="11"/>
      <name val="Arial"/>
      <family val="2"/>
    </font>
    <font>
      <b/>
      <sz val="10"/>
      <color rgb="FF000000"/>
      <name val="Arial"/>
      <family val="2"/>
    </font>
    <font>
      <b/>
      <sz val="12"/>
      <color rgb="FFFFFFFF"/>
      <name val="Arial"/>
      <family val="2"/>
    </font>
    <font>
      <sz val="10"/>
      <color rgb="FF595959"/>
      <name val="Arial"/>
      <family val="2"/>
    </font>
    <font>
      <i/>
      <sz val="8"/>
      <color rgb="FF595959"/>
      <name val="Arial"/>
      <family val="2"/>
    </font>
    <font>
      <sz val="8"/>
      <color rgb="FF000000"/>
      <name val="Arial"/>
      <family val="2"/>
    </font>
    <font>
      <u/>
      <sz val="9"/>
      <color rgb="FF0563C1"/>
      <name val="Arial"/>
      <family val="2"/>
    </font>
  </fonts>
  <fills count="6">
    <fill>
      <patternFill patternType="none"/>
    </fill>
    <fill>
      <patternFill patternType="gray125"/>
    </fill>
    <fill>
      <patternFill patternType="solid">
        <fgColor rgb="FF1F4E78"/>
        <bgColor rgb="FF003366"/>
      </patternFill>
    </fill>
    <fill>
      <patternFill patternType="solid">
        <fgColor rgb="FFFFF2CC"/>
        <bgColor rgb="FFFCE4D6"/>
      </patternFill>
    </fill>
    <fill>
      <patternFill patternType="solid">
        <fgColor rgb="FFFFFF00"/>
        <bgColor rgb="FFFFFF00"/>
      </patternFill>
    </fill>
    <fill>
      <patternFill patternType="solid">
        <fgColor rgb="FFFCE4D6"/>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2">
    <xf numFmtId="0" fontId="0" fillId="0" borderId="0" xfId="0"/>
    <xf numFmtId="4" fontId="11" fillId="0" borderId="1" xfId="0" applyNumberFormat="1" applyFont="1" applyBorder="1"/>
    <xf numFmtId="0" fontId="3" fillId="0" borderId="0" xfId="0" applyFont="1"/>
    <xf numFmtId="0" fontId="4" fillId="2" borderId="1" xfId="0" applyFont="1" applyFill="1" applyBorder="1" applyAlignment="1">
      <alignment horizontal="center" vertical="center" wrapText="1"/>
    </xf>
    <xf numFmtId="0" fontId="5" fillId="0" borderId="1" xfId="0" applyFont="1" applyBorder="1"/>
    <xf numFmtId="0" fontId="6" fillId="0" borderId="1" xfId="0" applyFont="1" applyBorder="1" applyAlignment="1">
      <alignment vertical="top" wrapText="1"/>
    </xf>
    <xf numFmtId="0" fontId="6" fillId="0" borderId="1" xfId="0" applyFont="1" applyBorder="1" applyAlignment="1">
      <alignment vertical="center" wrapText="1"/>
    </xf>
    <xf numFmtId="4" fontId="11" fillId="4" borderId="1" xfId="0" applyNumberFormat="1" applyFont="1" applyFill="1" applyBorder="1"/>
    <xf numFmtId="1" fontId="11" fillId="4" borderId="1" xfId="0" applyNumberFormat="1" applyFont="1" applyFill="1" applyBorder="1"/>
    <xf numFmtId="49" fontId="11" fillId="4" borderId="1" xfId="0" applyNumberFormat="1" applyFont="1" applyFill="1" applyBorder="1"/>
    <xf numFmtId="0" fontId="6" fillId="0" borderId="1" xfId="0" applyFont="1" applyBorder="1"/>
    <xf numFmtId="9" fontId="12" fillId="0" borderId="1" xfId="0" applyNumberFormat="1" applyFont="1" applyBorder="1"/>
    <xf numFmtId="4" fontId="6" fillId="0" borderId="1" xfId="0" applyNumberFormat="1" applyFont="1" applyBorder="1"/>
    <xf numFmtId="10" fontId="12" fillId="0" borderId="1" xfId="0" applyNumberFormat="1" applyFont="1" applyBorder="1"/>
    <xf numFmtId="0" fontId="13" fillId="5" borderId="1" xfId="0" applyFont="1" applyFill="1" applyBorder="1"/>
    <xf numFmtId="4" fontId="14" fillId="5" borderId="1" xfId="0" applyNumberFormat="1" applyFont="1" applyFill="1" applyBorder="1"/>
    <xf numFmtId="4" fontId="12" fillId="0" borderId="1" xfId="0" applyNumberFormat="1" applyFont="1" applyBorder="1"/>
    <xf numFmtId="0" fontId="15" fillId="2" borderId="1" xfId="0" applyFont="1" applyFill="1" applyBorder="1"/>
    <xf numFmtId="4" fontId="15" fillId="2" borderId="1" xfId="0" applyNumberFormat="1" applyFont="1" applyFill="1" applyBorder="1"/>
    <xf numFmtId="1" fontId="11" fillId="0" borderId="1" xfId="0" applyNumberFormat="1" applyFont="1" applyBorder="1"/>
    <xf numFmtId="10" fontId="11" fillId="0" borderId="1" xfId="0" applyNumberFormat="1" applyFont="1" applyBorder="1"/>
    <xf numFmtId="9" fontId="11" fillId="0" borderId="1" xfId="0" applyNumberFormat="1" applyFont="1" applyBorder="1"/>
    <xf numFmtId="0" fontId="7" fillId="0" borderId="1" xfId="0" applyFont="1" applyBorder="1" applyAlignment="1">
      <alignment wrapText="1"/>
    </xf>
    <xf numFmtId="0" fontId="18" fillId="0" borderId="1" xfId="0" applyFont="1" applyBorder="1" applyAlignment="1">
      <alignment wrapText="1"/>
    </xf>
    <xf numFmtId="0" fontId="7" fillId="0" borderId="1" xfId="0" applyFont="1" applyBorder="1"/>
    <xf numFmtId="0" fontId="18" fillId="0" borderId="1" xfId="0" applyFont="1" applyBorder="1"/>
    <xf numFmtId="3" fontId="11" fillId="5" borderId="1" xfId="0" applyNumberFormat="1" applyFont="1" applyFill="1" applyBorder="1"/>
    <xf numFmtId="3" fontId="11" fillId="0" borderId="1" xfId="0" applyNumberFormat="1" applyFont="1" applyBorder="1"/>
    <xf numFmtId="49" fontId="11" fillId="0" borderId="1" xfId="0" applyNumberFormat="1" applyFont="1" applyBorder="1"/>
    <xf numFmtId="0" fontId="19" fillId="0" borderId="1" xfId="0" applyFont="1" applyBorder="1"/>
    <xf numFmtId="0" fontId="9" fillId="0" borderId="0" xfId="0" applyFont="1"/>
    <xf numFmtId="0" fontId="7" fillId="0" borderId="1" xfId="0" applyFont="1" applyBorder="1" applyAlignment="1">
      <alignment vertical="top" wrapText="1"/>
    </xf>
    <xf numFmtId="0" fontId="8" fillId="3" borderId="0" xfId="0" applyFont="1" applyFill="1" applyAlignment="1">
      <alignment vertical="top" wrapText="1"/>
    </xf>
    <xf numFmtId="0" fontId="1" fillId="0" borderId="0" xfId="0" applyFont="1"/>
    <xf numFmtId="0" fontId="2" fillId="0" borderId="0" xfId="0" applyFont="1" applyAlignment="1">
      <alignment vertical="top" wrapText="1"/>
    </xf>
    <xf numFmtId="0" fontId="3" fillId="0" borderId="0" xfId="0" applyFont="1"/>
    <xf numFmtId="0" fontId="10" fillId="0" borderId="0" xfId="0" applyFont="1" applyAlignment="1">
      <alignment vertical="top" wrapText="1"/>
    </xf>
    <xf numFmtId="0" fontId="8" fillId="0" borderId="0" xfId="0" applyFont="1" applyAlignment="1">
      <alignment vertical="top" wrapText="1"/>
    </xf>
    <xf numFmtId="0" fontId="16" fillId="0" borderId="0" xfId="0" applyFont="1" applyAlignment="1">
      <alignment vertical="top" wrapText="1"/>
    </xf>
    <xf numFmtId="0" fontId="17" fillId="0" borderId="0" xfId="0" applyFont="1" applyAlignment="1">
      <alignment vertical="top" wrapText="1"/>
    </xf>
    <xf numFmtId="0" fontId="6" fillId="0" borderId="0" xfId="0" applyFont="1"/>
    <xf numFmtId="4" fontId="11" fillId="0" borderId="1"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tabSelected="1" zoomScaleNormal="100" workbookViewId="0">
      <selection activeCell="E2" sqref="E2"/>
    </sheetView>
  </sheetViews>
  <sheetFormatPr defaultColWidth="8.5703125" defaultRowHeight="15" x14ac:dyDescent="0.25"/>
  <cols>
    <col min="1" max="1" width="42" customWidth="1"/>
    <col min="2" max="2" width="65.140625" customWidth="1"/>
  </cols>
  <sheetData>
    <row r="1" spans="1:2" ht="18" x14ac:dyDescent="0.25">
      <c r="A1" s="33" t="s">
        <v>0</v>
      </c>
      <c r="B1" s="33"/>
    </row>
    <row r="3" spans="1:2" ht="45" customHeight="1" x14ac:dyDescent="0.25">
      <c r="A3" s="34" t="s">
        <v>1</v>
      </c>
      <c r="B3" s="34"/>
    </row>
    <row r="6" spans="1:2" x14ac:dyDescent="0.25">
      <c r="A6" s="2" t="s">
        <v>2</v>
      </c>
    </row>
    <row r="7" spans="1:2" x14ac:dyDescent="0.25">
      <c r="A7" s="3" t="s">
        <v>3</v>
      </c>
      <c r="B7" s="3" t="s">
        <v>4</v>
      </c>
    </row>
    <row r="8" spans="1:2" ht="30" customHeight="1" x14ac:dyDescent="0.25">
      <c r="A8" s="4" t="s">
        <v>5</v>
      </c>
      <c r="B8" s="5" t="s">
        <v>6</v>
      </c>
    </row>
    <row r="9" spans="1:2" ht="30" customHeight="1" x14ac:dyDescent="0.25">
      <c r="A9" s="4" t="s">
        <v>7</v>
      </c>
      <c r="B9" s="5" t="s">
        <v>8</v>
      </c>
    </row>
    <row r="10" spans="1:2" ht="30" customHeight="1" x14ac:dyDescent="0.25">
      <c r="A10" s="4" t="s">
        <v>9</v>
      </c>
      <c r="B10" s="5" t="s">
        <v>10</v>
      </c>
    </row>
    <row r="11" spans="1:2" ht="30" customHeight="1" x14ac:dyDescent="0.25">
      <c r="A11" s="4" t="s">
        <v>11</v>
      </c>
      <c r="B11" s="5" t="s">
        <v>12</v>
      </c>
    </row>
    <row r="12" spans="1:2" ht="30" customHeight="1" x14ac:dyDescent="0.25">
      <c r="A12" s="4" t="s">
        <v>13</v>
      </c>
      <c r="B12" s="5" t="s">
        <v>14</v>
      </c>
    </row>
    <row r="13" spans="1:2" ht="30" customHeight="1" x14ac:dyDescent="0.25">
      <c r="A13" s="4" t="s">
        <v>15</v>
      </c>
      <c r="B13" s="5" t="s">
        <v>16</v>
      </c>
    </row>
    <row r="15" spans="1:2" x14ac:dyDescent="0.25">
      <c r="A15" s="2" t="s">
        <v>17</v>
      </c>
    </row>
    <row r="16" spans="1:2" ht="24" customHeight="1" x14ac:dyDescent="0.25">
      <c r="A16" s="31" t="s">
        <v>18</v>
      </c>
      <c r="B16" s="31"/>
    </row>
    <row r="17" spans="1:2" ht="24" customHeight="1" x14ac:dyDescent="0.25">
      <c r="A17" s="31" t="s">
        <v>19</v>
      </c>
      <c r="B17" s="31"/>
    </row>
    <row r="18" spans="1:2" ht="24" customHeight="1" x14ac:dyDescent="0.25">
      <c r="A18" s="31" t="s">
        <v>20</v>
      </c>
      <c r="B18" s="31"/>
    </row>
    <row r="19" spans="1:2" ht="24" customHeight="1" x14ac:dyDescent="0.25">
      <c r="A19" s="31" t="s">
        <v>21</v>
      </c>
      <c r="B19" s="31"/>
    </row>
    <row r="21" spans="1:2" x14ac:dyDescent="0.25">
      <c r="A21" s="2" t="s">
        <v>22</v>
      </c>
    </row>
    <row r="22" spans="1:2" ht="69.75" customHeight="1" x14ac:dyDescent="0.25">
      <c r="A22" s="32" t="s">
        <v>23</v>
      </c>
      <c r="B22" s="32"/>
    </row>
  </sheetData>
  <mergeCells count="7">
    <mergeCell ref="A19:B19"/>
    <mergeCell ref="A22:B22"/>
    <mergeCell ref="A1:B1"/>
    <mergeCell ref="A3:B3"/>
    <mergeCell ref="A16:B16"/>
    <mergeCell ref="A17:B17"/>
    <mergeCell ref="A18:B1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8"/>
  <sheetViews>
    <sheetView topLeftCell="A7" zoomScaleNormal="100" workbookViewId="0">
      <selection activeCell="B32" sqref="B32"/>
    </sheetView>
  </sheetViews>
  <sheetFormatPr defaultColWidth="8.5703125" defaultRowHeight="15" x14ac:dyDescent="0.25"/>
  <cols>
    <col min="1" max="1" width="56" customWidth="1"/>
    <col min="2" max="2" width="22" customWidth="1"/>
    <col min="3" max="3" width="50" customWidth="1"/>
  </cols>
  <sheetData>
    <row r="1" spans="1:3" ht="16.5" x14ac:dyDescent="0.25">
      <c r="A1" s="30" t="s">
        <v>24</v>
      </c>
      <c r="B1" s="30"/>
      <c r="C1" s="30"/>
    </row>
    <row r="2" spans="1:3" ht="15" customHeight="1" x14ac:dyDescent="0.25">
      <c r="A2" s="36" t="s">
        <v>25</v>
      </c>
      <c r="B2" s="36"/>
      <c r="C2" s="36"/>
    </row>
    <row r="4" spans="1:3" x14ac:dyDescent="0.25">
      <c r="A4" s="35" t="s">
        <v>26</v>
      </c>
      <c r="B4" s="35"/>
      <c r="C4" s="35"/>
    </row>
    <row r="5" spans="1:3" ht="27.75" customHeight="1" x14ac:dyDescent="0.25">
      <c r="A5" s="6" t="s">
        <v>27</v>
      </c>
      <c r="B5" s="7">
        <v>25000</v>
      </c>
    </row>
    <row r="6" spans="1:3" ht="27.75" customHeight="1" x14ac:dyDescent="0.25">
      <c r="A6" s="6" t="s">
        <v>28</v>
      </c>
      <c r="B6" s="8">
        <v>3</v>
      </c>
    </row>
    <row r="7" spans="1:3" ht="27.75" customHeight="1" x14ac:dyDescent="0.25">
      <c r="A7" s="6" t="s">
        <v>29</v>
      </c>
      <c r="B7" s="8">
        <v>145</v>
      </c>
    </row>
    <row r="8" spans="1:3" ht="27.75" customHeight="1" x14ac:dyDescent="0.25">
      <c r="A8" s="6" t="s">
        <v>30</v>
      </c>
      <c r="B8" s="9" t="s">
        <v>31</v>
      </c>
    </row>
    <row r="9" spans="1:3" ht="27.75" customHeight="1" x14ac:dyDescent="0.25">
      <c r="A9" s="6" t="s">
        <v>32</v>
      </c>
      <c r="B9" s="9" t="s">
        <v>33</v>
      </c>
    </row>
    <row r="10" spans="1:3" ht="27.75" customHeight="1" x14ac:dyDescent="0.25">
      <c r="A10" s="6" t="s">
        <v>34</v>
      </c>
      <c r="B10" s="9" t="s">
        <v>35</v>
      </c>
    </row>
    <row r="11" spans="1:3" ht="27.75" customHeight="1" x14ac:dyDescent="0.25">
      <c r="A11" s="6" t="s">
        <v>36</v>
      </c>
      <c r="B11" s="9" t="s">
        <v>37</v>
      </c>
    </row>
    <row r="12" spans="1:3" ht="27.75" customHeight="1" x14ac:dyDescent="0.25">
      <c r="A12" s="6" t="s">
        <v>38</v>
      </c>
      <c r="B12" s="7"/>
    </row>
    <row r="13" spans="1:3" ht="27.75" customHeight="1" x14ac:dyDescent="0.25">
      <c r="A13" s="6" t="s">
        <v>39</v>
      </c>
      <c r="B13" s="9" t="s">
        <v>40</v>
      </c>
    </row>
    <row r="15" spans="1:3" x14ac:dyDescent="0.25">
      <c r="A15" s="35" t="s">
        <v>41</v>
      </c>
      <c r="B15" s="35"/>
      <c r="C15" s="35"/>
    </row>
    <row r="16" spans="1:3" x14ac:dyDescent="0.25">
      <c r="A16" s="10" t="s">
        <v>42</v>
      </c>
      <c r="B16" s="11">
        <f>INDEX('1_Matriculacion'!$C$21:$C$33,MATCH($B$6,'1_Matriculacion'!$A$21:$A$33,1))</f>
        <v>0.56000000000000005</v>
      </c>
    </row>
    <row r="17" spans="1:3" x14ac:dyDescent="0.25">
      <c r="A17" s="10" t="s">
        <v>43</v>
      </c>
      <c r="B17" s="12">
        <f>IF($B$10="TABLA",$B$5*B16,$B$5)</f>
        <v>25000</v>
      </c>
    </row>
    <row r="18" spans="1:3" x14ac:dyDescent="0.25">
      <c r="A18" s="10" t="s">
        <v>44</v>
      </c>
      <c r="B18" s="13">
        <f>IF($B$9="SI",INDEX('1_Matriculacion'!$D$11:$D$14,MATCH($B$7,'1_Matriculacion'!$A$11:$A$14,1)),INDEX('1_Matriculacion'!$C$11:$C$14,MATCH($B$7,'1_Matriculacion'!$A$11:$A$14,1)))</f>
        <v>4.7500000000000001E-2</v>
      </c>
    </row>
    <row r="19" spans="1:3" x14ac:dyDescent="0.25">
      <c r="A19" s="14" t="s">
        <v>45</v>
      </c>
      <c r="B19" s="15">
        <f>B17*B18</f>
        <v>1187.5</v>
      </c>
    </row>
    <row r="21" spans="1:3" x14ac:dyDescent="0.25">
      <c r="A21" s="35" t="s">
        <v>46</v>
      </c>
      <c r="B21" s="35"/>
      <c r="C21" s="35"/>
    </row>
    <row r="22" spans="1:3" x14ac:dyDescent="0.25">
      <c r="A22" s="10" t="s">
        <v>47</v>
      </c>
      <c r="B22" s="16">
        <f>'2_ITV_Homologacion'!B12</f>
        <v>84.7</v>
      </c>
    </row>
    <row r="23" spans="1:3" x14ac:dyDescent="0.25">
      <c r="A23" s="10" t="s">
        <v>48</v>
      </c>
      <c r="B23" s="16">
        <f>IF($B$8="diesel",'2_ITV_Homologacion'!B14,'2_ITV_Homologacion'!B13)</f>
        <v>37.5</v>
      </c>
    </row>
    <row r="24" spans="1:3" x14ac:dyDescent="0.25">
      <c r="A24" s="14" t="s">
        <v>49</v>
      </c>
      <c r="B24" s="15">
        <f>B22+B23</f>
        <v>122.2</v>
      </c>
    </row>
    <row r="26" spans="1:3" x14ac:dyDescent="0.25">
      <c r="A26" s="35" t="s">
        <v>50</v>
      </c>
      <c r="B26" s="35"/>
      <c r="C26" s="35"/>
    </row>
    <row r="27" spans="1:3" x14ac:dyDescent="0.25">
      <c r="A27" s="10" t="s">
        <v>51</v>
      </c>
      <c r="B27" s="16">
        <f>'3_Placas_Transferencia'!E10</f>
        <v>83.600000000000009</v>
      </c>
    </row>
    <row r="28" spans="1:3" x14ac:dyDescent="0.25">
      <c r="A28" s="10" t="s">
        <v>52</v>
      </c>
      <c r="B28" s="16">
        <f>'3_Placas_Transferencia'!B31</f>
        <v>24</v>
      </c>
    </row>
    <row r="29" spans="1:3" x14ac:dyDescent="0.25">
      <c r="A29" s="14" t="s">
        <v>53</v>
      </c>
      <c r="B29" s="15">
        <f>B27+B28</f>
        <v>107.60000000000001</v>
      </c>
    </row>
    <row r="31" spans="1:3" x14ac:dyDescent="0.25">
      <c r="A31" s="35" t="s">
        <v>54</v>
      </c>
      <c r="B31" s="35"/>
      <c r="C31" s="35"/>
    </row>
    <row r="32" spans="1:3" x14ac:dyDescent="0.25">
      <c r="A32" s="10" t="s">
        <v>55</v>
      </c>
      <c r="B32" s="16">
        <f>IF($B$12="",'4_Transporte'!B5,$B$12)</f>
        <v>750</v>
      </c>
    </row>
    <row r="33" spans="1:3" x14ac:dyDescent="0.25">
      <c r="A33" s="10" t="s">
        <v>56</v>
      </c>
      <c r="B33" s="16">
        <f>'4_Transporte'!B20</f>
        <v>363</v>
      </c>
    </row>
    <row r="34" spans="1:3" x14ac:dyDescent="0.25">
      <c r="A34" s="14" t="s">
        <v>57</v>
      </c>
      <c r="B34" s="15">
        <f>B32+B33</f>
        <v>1113</v>
      </c>
    </row>
    <row r="36" spans="1:3" ht="15.75" x14ac:dyDescent="0.25">
      <c r="A36" s="17" t="s">
        <v>58</v>
      </c>
      <c r="B36" s="18">
        <f>B19+B24+B29+B34</f>
        <v>2530.3000000000002</v>
      </c>
    </row>
    <row r="38" spans="1:3" ht="39.75" customHeight="1" x14ac:dyDescent="0.25">
      <c r="A38" s="36" t="s">
        <v>59</v>
      </c>
      <c r="B38" s="36"/>
      <c r="C38" s="36"/>
    </row>
  </sheetData>
  <mergeCells count="8">
    <mergeCell ref="A26:C26"/>
    <mergeCell ref="A31:C31"/>
    <mergeCell ref="A38:C38"/>
    <mergeCell ref="A1:C1"/>
    <mergeCell ref="A2:C2"/>
    <mergeCell ref="A4:C4"/>
    <mergeCell ref="A15:C15"/>
    <mergeCell ref="A21:C21"/>
  </mergeCells>
  <dataValidations count="3">
    <dataValidation type="list" sqref="B8" xr:uid="{00000000-0002-0000-0100-000000000000}">
      <formula1>"gasolina,diesel"</formula1>
      <formula2>0</formula2>
    </dataValidation>
    <dataValidation type="list" sqref="B9" xr:uid="{00000000-0002-0000-0100-000001000000}">
      <formula1>"SI,NO"</formula1>
      <formula2>0</formula2>
    </dataValidation>
    <dataValidation type="list" sqref="B10" xr:uid="{00000000-0002-0000-0100-000002000000}">
      <formula1>"TABLA,FACTURA"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8"/>
  <sheetViews>
    <sheetView topLeftCell="A34" zoomScaleNormal="100" workbookViewId="0">
      <selection sqref="A1:D1"/>
    </sheetView>
  </sheetViews>
  <sheetFormatPr defaultColWidth="8.5703125" defaultRowHeight="15" x14ac:dyDescent="0.25"/>
  <cols>
    <col min="1" max="2" width="30" customWidth="1"/>
    <col min="3" max="3" width="20" customWidth="1"/>
    <col min="4" max="4" width="34" customWidth="1"/>
  </cols>
  <sheetData>
    <row r="1" spans="1:4" ht="16.5" x14ac:dyDescent="0.25">
      <c r="A1" s="30" t="s">
        <v>60</v>
      </c>
      <c r="B1" s="30"/>
      <c r="C1" s="30"/>
      <c r="D1" s="30"/>
    </row>
    <row r="3" spans="1:4" x14ac:dyDescent="0.25">
      <c r="A3" s="40" t="s">
        <v>61</v>
      </c>
      <c r="B3" s="40"/>
      <c r="C3" s="40"/>
      <c r="D3" s="40"/>
    </row>
    <row r="4" spans="1:4" ht="27.75" customHeight="1" x14ac:dyDescent="0.25">
      <c r="A4" s="38" t="s">
        <v>62</v>
      </c>
      <c r="B4" s="38"/>
      <c r="C4" s="38"/>
      <c r="D4" s="38"/>
    </row>
    <row r="6" spans="1:4" ht="15" customHeight="1" x14ac:dyDescent="0.25">
      <c r="A6" s="36" t="s">
        <v>63</v>
      </c>
      <c r="B6" s="36"/>
      <c r="C6" s="36"/>
      <c r="D6" s="36"/>
    </row>
    <row r="9" spans="1:4" x14ac:dyDescent="0.25">
      <c r="A9" s="35" t="s">
        <v>64</v>
      </c>
      <c r="B9" s="35"/>
      <c r="C9" s="35"/>
      <c r="D9" s="35"/>
    </row>
    <row r="10" spans="1:4" ht="25.5" x14ac:dyDescent="0.25">
      <c r="A10" s="3" t="s">
        <v>65</v>
      </c>
      <c r="B10" s="3" t="s">
        <v>66</v>
      </c>
      <c r="C10" s="3" t="s">
        <v>67</v>
      </c>
      <c r="D10" s="3" t="s">
        <v>68</v>
      </c>
    </row>
    <row r="11" spans="1:4" x14ac:dyDescent="0.25">
      <c r="A11" s="19">
        <v>0</v>
      </c>
      <c r="B11" s="19">
        <v>120</v>
      </c>
      <c r="C11" s="20">
        <v>0</v>
      </c>
      <c r="D11" s="20">
        <v>0</v>
      </c>
    </row>
    <row r="12" spans="1:4" x14ac:dyDescent="0.25">
      <c r="A12" s="19">
        <v>121</v>
      </c>
      <c r="B12" s="19">
        <v>159</v>
      </c>
      <c r="C12" s="20">
        <v>4.7500000000000001E-2</v>
      </c>
      <c r="D12" s="20">
        <v>5.4625E-2</v>
      </c>
    </row>
    <row r="13" spans="1:4" x14ac:dyDescent="0.25">
      <c r="A13" s="19">
        <v>160</v>
      </c>
      <c r="B13" s="19">
        <v>199</v>
      </c>
      <c r="C13" s="20">
        <v>9.7500000000000003E-2</v>
      </c>
      <c r="D13" s="20">
        <v>0.112125</v>
      </c>
    </row>
    <row r="14" spans="1:4" x14ac:dyDescent="0.25">
      <c r="A14" s="19">
        <v>200</v>
      </c>
      <c r="B14" s="19" t="s">
        <v>69</v>
      </c>
      <c r="C14" s="20">
        <v>0.14749999999999999</v>
      </c>
      <c r="D14" s="20">
        <v>0.169625</v>
      </c>
    </row>
    <row r="15" spans="1:4" ht="31.5" customHeight="1" x14ac:dyDescent="0.25">
      <c r="A15" s="36" t="s">
        <v>70</v>
      </c>
      <c r="B15" s="36"/>
      <c r="C15" s="36"/>
      <c r="D15" s="36"/>
    </row>
    <row r="16" spans="1:4" ht="15" customHeight="1" x14ac:dyDescent="0.25">
      <c r="A16" s="36" t="s">
        <v>71</v>
      </c>
      <c r="B16" s="36"/>
      <c r="C16" s="36"/>
      <c r="D16" s="36"/>
    </row>
    <row r="19" spans="1:4" x14ac:dyDescent="0.25">
      <c r="A19" s="35" t="s">
        <v>72</v>
      </c>
      <c r="B19" s="35"/>
      <c r="C19" s="35"/>
      <c r="D19" s="35"/>
    </row>
    <row r="20" spans="1:4" x14ac:dyDescent="0.25">
      <c r="A20" s="3" t="s">
        <v>73</v>
      </c>
      <c r="B20" s="3" t="s">
        <v>74</v>
      </c>
      <c r="C20" s="3" t="s">
        <v>75</v>
      </c>
      <c r="D20" s="3"/>
    </row>
    <row r="21" spans="1:4" x14ac:dyDescent="0.25">
      <c r="A21" s="19">
        <v>0</v>
      </c>
      <c r="B21" s="19">
        <v>1</v>
      </c>
      <c r="C21" s="21">
        <v>1</v>
      </c>
      <c r="D21" s="10"/>
    </row>
    <row r="22" spans="1:4" x14ac:dyDescent="0.25">
      <c r="A22" s="19">
        <v>1</v>
      </c>
      <c r="B22" s="19">
        <v>2</v>
      </c>
      <c r="C22" s="21">
        <v>0.84</v>
      </c>
      <c r="D22" s="10"/>
    </row>
    <row r="23" spans="1:4" x14ac:dyDescent="0.25">
      <c r="A23" s="19">
        <v>2</v>
      </c>
      <c r="B23" s="19">
        <v>3</v>
      </c>
      <c r="C23" s="21">
        <v>0.67</v>
      </c>
      <c r="D23" s="10"/>
    </row>
    <row r="24" spans="1:4" x14ac:dyDescent="0.25">
      <c r="A24" s="19">
        <v>3</v>
      </c>
      <c r="B24" s="19">
        <v>4</v>
      </c>
      <c r="C24" s="21">
        <v>0.56000000000000005</v>
      </c>
      <c r="D24" s="10"/>
    </row>
    <row r="25" spans="1:4" x14ac:dyDescent="0.25">
      <c r="A25" s="19">
        <v>4</v>
      </c>
      <c r="B25" s="19">
        <v>5</v>
      </c>
      <c r="C25" s="21">
        <v>0.47</v>
      </c>
      <c r="D25" s="10"/>
    </row>
    <row r="26" spans="1:4" x14ac:dyDescent="0.25">
      <c r="A26" s="19">
        <v>5</v>
      </c>
      <c r="B26" s="19">
        <v>6</v>
      </c>
      <c r="C26" s="21">
        <v>0.39</v>
      </c>
      <c r="D26" s="10"/>
    </row>
    <row r="27" spans="1:4" x14ac:dyDescent="0.25">
      <c r="A27" s="19">
        <v>6</v>
      </c>
      <c r="B27" s="19">
        <v>7</v>
      </c>
      <c r="C27" s="21">
        <v>0.34</v>
      </c>
      <c r="D27" s="10"/>
    </row>
    <row r="28" spans="1:4" x14ac:dyDescent="0.25">
      <c r="A28" s="19">
        <v>7</v>
      </c>
      <c r="B28" s="19">
        <v>8</v>
      </c>
      <c r="C28" s="21">
        <v>0.28000000000000003</v>
      </c>
      <c r="D28" s="10"/>
    </row>
    <row r="29" spans="1:4" x14ac:dyDescent="0.25">
      <c r="A29" s="19">
        <v>8</v>
      </c>
      <c r="B29" s="19">
        <v>9</v>
      </c>
      <c r="C29" s="21">
        <v>0.24</v>
      </c>
      <c r="D29" s="10"/>
    </row>
    <row r="30" spans="1:4" x14ac:dyDescent="0.25">
      <c r="A30" s="19">
        <v>9</v>
      </c>
      <c r="B30" s="19">
        <v>10</v>
      </c>
      <c r="C30" s="21">
        <v>0.19</v>
      </c>
      <c r="D30" s="10"/>
    </row>
    <row r="31" spans="1:4" x14ac:dyDescent="0.25">
      <c r="A31" s="19">
        <v>10</v>
      </c>
      <c r="B31" s="19">
        <v>11</v>
      </c>
      <c r="C31" s="21">
        <v>0.17</v>
      </c>
      <c r="D31" s="10"/>
    </row>
    <row r="32" spans="1:4" x14ac:dyDescent="0.25">
      <c r="A32" s="19">
        <v>11</v>
      </c>
      <c r="B32" s="19">
        <v>12</v>
      </c>
      <c r="C32" s="21">
        <v>0.13</v>
      </c>
      <c r="D32" s="10"/>
    </row>
    <row r="33" spans="1:4" x14ac:dyDescent="0.25">
      <c r="A33" s="19">
        <v>12</v>
      </c>
      <c r="B33" s="19" t="s">
        <v>76</v>
      </c>
      <c r="C33" s="21">
        <v>0.1</v>
      </c>
      <c r="D33" s="10"/>
    </row>
    <row r="34" spans="1:4" ht="24" customHeight="1" x14ac:dyDescent="0.25">
      <c r="A34" s="36" t="s">
        <v>77</v>
      </c>
      <c r="B34" s="36"/>
      <c r="C34" s="36"/>
      <c r="D34" s="36"/>
    </row>
    <row r="37" spans="1:4" x14ac:dyDescent="0.25">
      <c r="A37" s="35" t="s">
        <v>78</v>
      </c>
      <c r="B37" s="35"/>
      <c r="C37" s="35"/>
      <c r="D37" s="35"/>
    </row>
    <row r="38" spans="1:4" ht="27.75" customHeight="1" x14ac:dyDescent="0.25">
      <c r="A38" s="38" t="s">
        <v>79</v>
      </c>
      <c r="B38" s="38"/>
      <c r="C38" s="38"/>
      <c r="D38" s="38"/>
    </row>
    <row r="39" spans="1:4" ht="36" customHeight="1" x14ac:dyDescent="0.25">
      <c r="A39" s="37" t="s">
        <v>80</v>
      </c>
      <c r="B39" s="37"/>
      <c r="C39" s="37"/>
      <c r="D39" s="37"/>
    </row>
    <row r="40" spans="1:4" ht="48" customHeight="1" x14ac:dyDescent="0.25">
      <c r="A40" s="37" t="s">
        <v>81</v>
      </c>
      <c r="B40" s="37"/>
      <c r="C40" s="37"/>
      <c r="D40" s="37"/>
    </row>
    <row r="41" spans="1:4" ht="15" customHeight="1" x14ac:dyDescent="0.25">
      <c r="A41" s="36" t="s">
        <v>82</v>
      </c>
      <c r="B41" s="36"/>
      <c r="C41" s="36"/>
      <c r="D41" s="36"/>
    </row>
    <row r="42" spans="1:4" ht="15" customHeight="1" x14ac:dyDescent="0.25">
      <c r="A42" s="39" t="s">
        <v>83</v>
      </c>
      <c r="B42" s="39"/>
      <c r="C42" s="39"/>
      <c r="D42" s="39"/>
    </row>
    <row r="44" spans="1:4" x14ac:dyDescent="0.25">
      <c r="A44" s="35" t="s">
        <v>84</v>
      </c>
      <c r="B44" s="35"/>
      <c r="C44" s="35"/>
      <c r="D44" s="35"/>
    </row>
    <row r="45" spans="1:4" ht="48" customHeight="1" x14ac:dyDescent="0.25">
      <c r="A45" s="37" t="s">
        <v>85</v>
      </c>
      <c r="B45" s="37"/>
      <c r="C45" s="37"/>
      <c r="D45" s="37"/>
    </row>
    <row r="46" spans="1:4" ht="60" customHeight="1" x14ac:dyDescent="0.25">
      <c r="A46" s="32" t="s">
        <v>86</v>
      </c>
      <c r="B46" s="32"/>
      <c r="C46" s="32"/>
      <c r="D46" s="32"/>
    </row>
    <row r="47" spans="1:4" ht="24" customHeight="1" x14ac:dyDescent="0.25">
      <c r="A47" s="37" t="s">
        <v>87</v>
      </c>
      <c r="B47" s="37"/>
      <c r="C47" s="37"/>
      <c r="D47" s="37"/>
    </row>
    <row r="48" spans="1:4" ht="48" customHeight="1" x14ac:dyDescent="0.25">
      <c r="A48" s="37" t="s">
        <v>88</v>
      </c>
      <c r="B48" s="37"/>
      <c r="C48" s="37"/>
      <c r="D48" s="37"/>
    </row>
  </sheetData>
  <mergeCells count="20">
    <mergeCell ref="A1:D1"/>
    <mergeCell ref="A3:D3"/>
    <mergeCell ref="A4:D4"/>
    <mergeCell ref="A6:D6"/>
    <mergeCell ref="A9:D9"/>
    <mergeCell ref="A15:D15"/>
    <mergeCell ref="A16:D16"/>
    <mergeCell ref="A19:D19"/>
    <mergeCell ref="A34:D34"/>
    <mergeCell ref="A37:D37"/>
    <mergeCell ref="A38:D38"/>
    <mergeCell ref="A39:D39"/>
    <mergeCell ref="A40:D40"/>
    <mergeCell ref="A41:D41"/>
    <mergeCell ref="A42:D42"/>
    <mergeCell ref="A44:D44"/>
    <mergeCell ref="A45:D45"/>
    <mergeCell ref="A46:D46"/>
    <mergeCell ref="A47:D47"/>
    <mergeCell ref="A48:D4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2"/>
  <sheetViews>
    <sheetView zoomScaleNormal="100" workbookViewId="0">
      <selection sqref="A1:C1"/>
    </sheetView>
  </sheetViews>
  <sheetFormatPr defaultColWidth="8.5703125" defaultRowHeight="15" x14ac:dyDescent="0.25"/>
  <cols>
    <col min="1" max="1" width="46" customWidth="1"/>
    <col min="2" max="2" width="16" customWidth="1"/>
    <col min="3" max="3" width="46" customWidth="1"/>
  </cols>
  <sheetData>
    <row r="1" spans="1:3" ht="16.5" x14ac:dyDescent="0.25">
      <c r="A1" s="30" t="s">
        <v>89</v>
      </c>
      <c r="B1" s="30"/>
      <c r="C1" s="30"/>
    </row>
    <row r="3" spans="1:3" ht="39.75" customHeight="1" x14ac:dyDescent="0.25">
      <c r="A3" s="38" t="s">
        <v>90</v>
      </c>
      <c r="B3" s="38"/>
      <c r="C3" s="38"/>
    </row>
    <row r="5" spans="1:3" ht="24" customHeight="1" x14ac:dyDescent="0.25">
      <c r="A5" s="38" t="s">
        <v>91</v>
      </c>
      <c r="B5" s="38"/>
      <c r="C5" s="38"/>
    </row>
    <row r="8" spans="1:3" x14ac:dyDescent="0.25">
      <c r="A8" s="35" t="s">
        <v>92</v>
      </c>
      <c r="B8" s="35"/>
      <c r="C8" s="35"/>
    </row>
    <row r="9" spans="1:3" x14ac:dyDescent="0.25">
      <c r="A9" s="3" t="s">
        <v>93</v>
      </c>
      <c r="B9" s="3" t="s">
        <v>94</v>
      </c>
      <c r="C9" s="3" t="s">
        <v>95</v>
      </c>
    </row>
    <row r="10" spans="1:3" ht="24.75" x14ac:dyDescent="0.25">
      <c r="A10" s="10" t="s">
        <v>96</v>
      </c>
      <c r="B10" s="1">
        <v>70</v>
      </c>
      <c r="C10" s="22" t="s">
        <v>97</v>
      </c>
    </row>
    <row r="11" spans="1:3" x14ac:dyDescent="0.25">
      <c r="A11" s="10" t="s">
        <v>98</v>
      </c>
      <c r="B11" s="12">
        <f>B10*0.21</f>
        <v>14.7</v>
      </c>
      <c r="C11" s="10"/>
    </row>
    <row r="12" spans="1:3" x14ac:dyDescent="0.25">
      <c r="A12" s="10" t="s">
        <v>99</v>
      </c>
      <c r="B12" s="12">
        <f>B10+B11</f>
        <v>84.7</v>
      </c>
      <c r="C12" s="10"/>
    </row>
    <row r="13" spans="1:3" ht="24.75" x14ac:dyDescent="0.25">
      <c r="A13" s="10" t="s">
        <v>100</v>
      </c>
      <c r="B13" s="1">
        <v>37.5</v>
      </c>
      <c r="C13" s="22" t="s">
        <v>101</v>
      </c>
    </row>
    <row r="14" spans="1:3" ht="24.75" x14ac:dyDescent="0.25">
      <c r="A14" s="10" t="s">
        <v>102</v>
      </c>
      <c r="B14" s="1">
        <v>46.76</v>
      </c>
      <c r="C14" s="22" t="s">
        <v>101</v>
      </c>
    </row>
    <row r="16" spans="1:3" x14ac:dyDescent="0.25">
      <c r="A16" s="14" t="s">
        <v>103</v>
      </c>
      <c r="B16" s="15">
        <f>B12+B13</f>
        <v>122.2</v>
      </c>
    </row>
    <row r="17" spans="1:3" x14ac:dyDescent="0.25">
      <c r="A17" s="14" t="s">
        <v>104</v>
      </c>
      <c r="B17" s="15">
        <f>B12+B14</f>
        <v>131.46</v>
      </c>
    </row>
    <row r="20" spans="1:3" ht="36" customHeight="1" x14ac:dyDescent="0.25">
      <c r="A20" s="37" t="s">
        <v>105</v>
      </c>
      <c r="B20" s="37"/>
      <c r="C20" s="37"/>
    </row>
    <row r="22" spans="1:3" ht="30" customHeight="1" x14ac:dyDescent="0.25">
      <c r="A22" s="36" t="s">
        <v>106</v>
      </c>
      <c r="B22" s="36"/>
      <c r="C22" s="36"/>
    </row>
  </sheetData>
  <mergeCells count="6">
    <mergeCell ref="A22:C22"/>
    <mergeCell ref="A1:C1"/>
    <mergeCell ref="A3:C3"/>
    <mergeCell ref="A5:C5"/>
    <mergeCell ref="A8:C8"/>
    <mergeCell ref="A20:C2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3"/>
  <sheetViews>
    <sheetView topLeftCell="A22" zoomScaleNormal="100" workbookViewId="0">
      <selection sqref="A1:F1"/>
    </sheetView>
  </sheetViews>
  <sheetFormatPr defaultColWidth="8.5703125" defaultRowHeight="15" x14ac:dyDescent="0.25"/>
  <cols>
    <col min="1" max="1" width="46" customWidth="1"/>
    <col min="2" max="4" width="13" customWidth="1"/>
    <col min="5" max="5" width="14" customWidth="1"/>
    <col min="6" max="6" width="30" customWidth="1"/>
  </cols>
  <sheetData>
    <row r="1" spans="1:6" ht="16.5" x14ac:dyDescent="0.25">
      <c r="A1" s="30" t="s">
        <v>107</v>
      </c>
      <c r="B1" s="30"/>
      <c r="C1" s="30"/>
      <c r="D1" s="30"/>
      <c r="E1" s="30"/>
      <c r="F1" s="30"/>
    </row>
    <row r="3" spans="1:6" ht="45.75" customHeight="1" x14ac:dyDescent="0.25">
      <c r="A3" s="37" t="s">
        <v>108</v>
      </c>
      <c r="B3" s="37"/>
      <c r="C3" s="37"/>
      <c r="D3" s="37"/>
      <c r="E3" s="37"/>
      <c r="F3" s="37"/>
    </row>
    <row r="5" spans="1:6" ht="33.75" customHeight="1" x14ac:dyDescent="0.25">
      <c r="A5" s="32" t="s">
        <v>109</v>
      </c>
      <c r="B5" s="32"/>
      <c r="C5" s="32"/>
      <c r="D5" s="32"/>
      <c r="E5" s="32"/>
      <c r="F5" s="32"/>
    </row>
    <row r="8" spans="1:6" x14ac:dyDescent="0.25">
      <c r="A8" s="35" t="s">
        <v>110</v>
      </c>
      <c r="B8" s="35"/>
      <c r="C8" s="35"/>
      <c r="D8" s="35"/>
      <c r="E8" s="35"/>
      <c r="F8" s="35"/>
    </row>
    <row r="9" spans="1:6" x14ac:dyDescent="0.25">
      <c r="A9" s="3" t="s">
        <v>93</v>
      </c>
      <c r="B9" s="3" t="s">
        <v>111</v>
      </c>
      <c r="C9" s="3" t="s">
        <v>112</v>
      </c>
      <c r="D9" s="3" t="s">
        <v>113</v>
      </c>
      <c r="E9" s="3" t="s">
        <v>114</v>
      </c>
      <c r="F9" s="3" t="s">
        <v>115</v>
      </c>
    </row>
    <row r="10" spans="1:6" ht="23.25" x14ac:dyDescent="0.25">
      <c r="A10" s="10" t="s">
        <v>116</v>
      </c>
      <c r="B10" s="1">
        <v>20</v>
      </c>
      <c r="C10" s="1">
        <v>55.7</v>
      </c>
      <c r="D10" s="1">
        <v>7.9</v>
      </c>
      <c r="E10" s="12">
        <f t="shared" ref="E10:E17" si="0">B10+C10+D10</f>
        <v>83.600000000000009</v>
      </c>
      <c r="F10" s="23" t="s">
        <v>117</v>
      </c>
    </row>
    <row r="11" spans="1:6" ht="23.25" x14ac:dyDescent="0.25">
      <c r="A11" s="10" t="s">
        <v>118</v>
      </c>
      <c r="B11" s="1">
        <v>25</v>
      </c>
      <c r="C11" s="1">
        <v>55.7</v>
      </c>
      <c r="D11" s="1">
        <v>7.9</v>
      </c>
      <c r="E11" s="12">
        <f t="shared" si="0"/>
        <v>88.600000000000009</v>
      </c>
      <c r="F11" s="23" t="s">
        <v>119</v>
      </c>
    </row>
    <row r="12" spans="1:6" x14ac:dyDescent="0.25">
      <c r="A12" s="10" t="s">
        <v>120</v>
      </c>
      <c r="B12" s="1">
        <v>30</v>
      </c>
      <c r="C12" s="1">
        <v>64.37</v>
      </c>
      <c r="D12" s="1">
        <v>10.85</v>
      </c>
      <c r="E12" s="12">
        <f t="shared" si="0"/>
        <v>105.22</v>
      </c>
      <c r="F12" s="23"/>
    </row>
    <row r="13" spans="1:6" x14ac:dyDescent="0.25">
      <c r="A13" s="10" t="s">
        <v>121</v>
      </c>
      <c r="B13" s="1">
        <v>3</v>
      </c>
      <c r="C13" s="1">
        <v>8.67</v>
      </c>
      <c r="D13" s="1">
        <v>1.65</v>
      </c>
      <c r="E13" s="12">
        <f t="shared" si="0"/>
        <v>13.32</v>
      </c>
      <c r="F13" s="23"/>
    </row>
    <row r="14" spans="1:6" x14ac:dyDescent="0.25">
      <c r="A14" s="10" t="s">
        <v>122</v>
      </c>
      <c r="B14" s="1">
        <v>15</v>
      </c>
      <c r="C14" s="1">
        <v>8.67</v>
      </c>
      <c r="D14" s="1">
        <v>2.95</v>
      </c>
      <c r="E14" s="12">
        <f t="shared" si="0"/>
        <v>26.62</v>
      </c>
      <c r="F14" s="23"/>
    </row>
    <row r="15" spans="1:6" x14ac:dyDescent="0.25">
      <c r="A15" s="10" t="s">
        <v>123</v>
      </c>
      <c r="B15" s="1">
        <v>12</v>
      </c>
      <c r="C15" s="1">
        <v>20.81</v>
      </c>
      <c r="D15" s="1">
        <v>3.2</v>
      </c>
      <c r="E15" s="12">
        <f t="shared" si="0"/>
        <v>36.010000000000005</v>
      </c>
      <c r="F15" s="23"/>
    </row>
    <row r="16" spans="1:6" x14ac:dyDescent="0.25">
      <c r="A16" s="10" t="s">
        <v>124</v>
      </c>
      <c r="B16" s="1">
        <v>12</v>
      </c>
      <c r="C16" s="1">
        <v>8.67</v>
      </c>
      <c r="D16" s="1">
        <v>3.2</v>
      </c>
      <c r="E16" s="12">
        <f t="shared" si="0"/>
        <v>23.87</v>
      </c>
      <c r="F16" s="23"/>
    </row>
    <row r="17" spans="1:6" x14ac:dyDescent="0.25">
      <c r="A17" s="10" t="s">
        <v>125</v>
      </c>
      <c r="B17" s="1">
        <v>12</v>
      </c>
      <c r="C17" s="1">
        <v>8.67</v>
      </c>
      <c r="D17" s="1">
        <v>2.95</v>
      </c>
      <c r="E17" s="12">
        <f t="shared" si="0"/>
        <v>23.62</v>
      </c>
      <c r="F17" s="23"/>
    </row>
    <row r="19" spans="1:6" x14ac:dyDescent="0.25">
      <c r="A19" s="35" t="s">
        <v>126</v>
      </c>
      <c r="B19" s="35"/>
      <c r="C19" s="35"/>
      <c r="D19" s="35"/>
      <c r="E19" s="35"/>
      <c r="F19" s="35"/>
    </row>
    <row r="20" spans="1:6" x14ac:dyDescent="0.25">
      <c r="A20" s="3" t="s">
        <v>93</v>
      </c>
      <c r="B20" s="3" t="s">
        <v>111</v>
      </c>
      <c r="C20" s="3" t="s">
        <v>127</v>
      </c>
      <c r="D20" s="3" t="s">
        <v>128</v>
      </c>
      <c r="E20" s="3"/>
      <c r="F20" s="3" t="s">
        <v>115</v>
      </c>
    </row>
    <row r="21" spans="1:6" x14ac:dyDescent="0.25">
      <c r="A21" s="10" t="s">
        <v>129</v>
      </c>
      <c r="B21" s="1">
        <v>24</v>
      </c>
      <c r="C21" s="24" t="s">
        <v>130</v>
      </c>
      <c r="D21" s="24" t="s">
        <v>131</v>
      </c>
      <c r="E21" s="10"/>
      <c r="F21" s="25"/>
    </row>
    <row r="22" spans="1:6" x14ac:dyDescent="0.25">
      <c r="A22" s="10" t="s">
        <v>132</v>
      </c>
      <c r="B22" s="1">
        <v>12</v>
      </c>
      <c r="C22" s="24" t="s">
        <v>130</v>
      </c>
      <c r="D22" s="24" t="s">
        <v>131</v>
      </c>
      <c r="E22" s="10"/>
      <c r="F22" s="25"/>
    </row>
    <row r="23" spans="1:6" x14ac:dyDescent="0.25">
      <c r="A23" s="10" t="s">
        <v>133</v>
      </c>
      <c r="B23" s="1">
        <v>9</v>
      </c>
      <c r="C23" s="24" t="s">
        <v>131</v>
      </c>
      <c r="D23" s="24" t="s">
        <v>134</v>
      </c>
      <c r="E23" s="10"/>
      <c r="F23" s="25"/>
    </row>
    <row r="24" spans="1:6" x14ac:dyDescent="0.25">
      <c r="A24" s="10" t="s">
        <v>135</v>
      </c>
      <c r="B24" s="1">
        <v>18</v>
      </c>
      <c r="C24" s="24" t="s">
        <v>136</v>
      </c>
      <c r="D24" s="24" t="s">
        <v>131</v>
      </c>
      <c r="E24" s="10"/>
      <c r="F24" s="25"/>
    </row>
    <row r="25" spans="1:6" x14ac:dyDescent="0.25">
      <c r="A25" s="10" t="s">
        <v>137</v>
      </c>
      <c r="B25" s="1">
        <v>3</v>
      </c>
      <c r="C25" s="24" t="s">
        <v>130</v>
      </c>
      <c r="D25" s="24" t="s">
        <v>131</v>
      </c>
      <c r="E25" s="10"/>
      <c r="F25" s="25"/>
    </row>
    <row r="26" spans="1:6" x14ac:dyDescent="0.25">
      <c r="A26" s="10" t="s">
        <v>138</v>
      </c>
      <c r="B26" s="1">
        <v>15</v>
      </c>
      <c r="C26" s="24" t="s">
        <v>139</v>
      </c>
      <c r="D26" s="24" t="s">
        <v>131</v>
      </c>
      <c r="E26" s="10"/>
      <c r="F26" s="25"/>
    </row>
    <row r="27" spans="1:6" x14ac:dyDescent="0.25">
      <c r="A27" s="10" t="s">
        <v>140</v>
      </c>
      <c r="B27" s="1">
        <v>70</v>
      </c>
      <c r="C27" s="24" t="s">
        <v>131</v>
      </c>
      <c r="D27" s="24" t="s">
        <v>131</v>
      </c>
      <c r="E27" s="10"/>
      <c r="F27" s="25"/>
    </row>
    <row r="29" spans="1:6" x14ac:dyDescent="0.25">
      <c r="A29" s="35" t="s">
        <v>141</v>
      </c>
      <c r="B29" s="35"/>
      <c r="C29" s="35"/>
      <c r="D29" s="35"/>
      <c r="E29" s="35"/>
      <c r="F29" s="35"/>
    </row>
    <row r="30" spans="1:6" x14ac:dyDescent="0.25">
      <c r="A30" s="3" t="s">
        <v>93</v>
      </c>
      <c r="B30" s="3" t="s">
        <v>94</v>
      </c>
      <c r="C30" s="3"/>
      <c r="D30" s="3"/>
      <c r="E30" s="3"/>
      <c r="F30" s="3" t="s">
        <v>115</v>
      </c>
    </row>
    <row r="31" spans="1:6" ht="57" x14ac:dyDescent="0.25">
      <c r="A31" s="10" t="s">
        <v>142</v>
      </c>
      <c r="B31" s="41">
        <v>24</v>
      </c>
      <c r="C31" s="41"/>
      <c r="D31" s="41"/>
      <c r="E31" s="41"/>
      <c r="F31" s="23" t="s">
        <v>143</v>
      </c>
    </row>
    <row r="33" spans="1:2" x14ac:dyDescent="0.25">
      <c r="A33" s="14" t="s">
        <v>144</v>
      </c>
      <c r="B33" s="15">
        <f>E10+B31</f>
        <v>107.60000000000001</v>
      </c>
    </row>
  </sheetData>
  <mergeCells count="7">
    <mergeCell ref="A29:F29"/>
    <mergeCell ref="B31:E31"/>
    <mergeCell ref="A1:F1"/>
    <mergeCell ref="A3:F3"/>
    <mergeCell ref="A5:F5"/>
    <mergeCell ref="A8:F8"/>
    <mergeCell ref="A19:F1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0"/>
  <sheetViews>
    <sheetView topLeftCell="A7" zoomScaleNormal="100" workbookViewId="0">
      <selection sqref="A1:C1"/>
    </sheetView>
  </sheetViews>
  <sheetFormatPr defaultColWidth="8.5703125" defaultRowHeight="15" x14ac:dyDescent="0.25"/>
  <cols>
    <col min="1" max="1" width="46" customWidth="1"/>
    <col min="2" max="2" width="20" customWidth="1"/>
    <col min="3" max="3" width="40" customWidth="1"/>
  </cols>
  <sheetData>
    <row r="1" spans="1:3" ht="16.5" x14ac:dyDescent="0.25">
      <c r="A1" s="30" t="s">
        <v>145</v>
      </c>
      <c r="B1" s="30"/>
      <c r="C1" s="30"/>
    </row>
    <row r="3" spans="1:3" x14ac:dyDescent="0.25">
      <c r="A3" s="35" t="s">
        <v>146</v>
      </c>
      <c r="B3" s="35"/>
      <c r="C3" s="35"/>
    </row>
    <row r="4" spans="1:3" x14ac:dyDescent="0.25">
      <c r="A4" s="3" t="s">
        <v>93</v>
      </c>
      <c r="B4" s="3" t="s">
        <v>94</v>
      </c>
      <c r="C4" s="3" t="s">
        <v>95</v>
      </c>
    </row>
    <row r="5" spans="1:3" x14ac:dyDescent="0.25">
      <c r="A5" s="14" t="s">
        <v>147</v>
      </c>
      <c r="B5" s="26">
        <v>750</v>
      </c>
      <c r="C5" s="24" t="s">
        <v>148</v>
      </c>
    </row>
    <row r="7" spans="1:3" x14ac:dyDescent="0.25">
      <c r="A7" s="35" t="s">
        <v>149</v>
      </c>
      <c r="B7" s="35"/>
      <c r="C7" s="35"/>
    </row>
    <row r="8" spans="1:3" x14ac:dyDescent="0.25">
      <c r="A8" s="3" t="s">
        <v>150</v>
      </c>
      <c r="B8" s="3" t="s">
        <v>151</v>
      </c>
      <c r="C8" s="3" t="s">
        <v>152</v>
      </c>
    </row>
    <row r="9" spans="1:3" x14ac:dyDescent="0.25">
      <c r="A9" s="10" t="s">
        <v>153</v>
      </c>
      <c r="B9" s="27">
        <v>950</v>
      </c>
      <c r="C9" s="24" t="s">
        <v>154</v>
      </c>
    </row>
    <row r="10" spans="1:3" x14ac:dyDescent="0.25">
      <c r="A10" s="10" t="s">
        <v>155</v>
      </c>
      <c r="B10" s="27">
        <v>1050</v>
      </c>
      <c r="C10" s="24" t="s">
        <v>154</v>
      </c>
    </row>
    <row r="11" spans="1:3" x14ac:dyDescent="0.25">
      <c r="A11" s="10" t="s">
        <v>156</v>
      </c>
      <c r="B11" s="27">
        <v>1000</v>
      </c>
      <c r="C11" s="24" t="s">
        <v>154</v>
      </c>
    </row>
    <row r="12" spans="1:3" x14ac:dyDescent="0.25">
      <c r="A12" s="10" t="s">
        <v>157</v>
      </c>
      <c r="B12" s="28" t="s">
        <v>158</v>
      </c>
      <c r="C12" s="24" t="s">
        <v>159</v>
      </c>
    </row>
    <row r="14" spans="1:3" ht="33.75" customHeight="1" x14ac:dyDescent="0.25">
      <c r="A14" s="36" t="s">
        <v>160</v>
      </c>
      <c r="B14" s="36"/>
      <c r="C14" s="36"/>
    </row>
    <row r="16" spans="1:3" x14ac:dyDescent="0.25">
      <c r="A16" s="35" t="s">
        <v>161</v>
      </c>
      <c r="B16" s="35"/>
      <c r="C16" s="35"/>
    </row>
    <row r="17" spans="1:3" x14ac:dyDescent="0.25">
      <c r="A17" s="3" t="s">
        <v>93</v>
      </c>
      <c r="B17" s="3" t="s">
        <v>94</v>
      </c>
      <c r="C17" s="3" t="s">
        <v>95</v>
      </c>
    </row>
    <row r="18" spans="1:3" ht="36.75" x14ac:dyDescent="0.25">
      <c r="A18" s="10" t="s">
        <v>162</v>
      </c>
      <c r="B18" s="1">
        <v>300</v>
      </c>
      <c r="C18" s="22" t="s">
        <v>163</v>
      </c>
    </row>
    <row r="19" spans="1:3" x14ac:dyDescent="0.25">
      <c r="A19" s="10" t="s">
        <v>164</v>
      </c>
      <c r="B19" s="12">
        <f>B18*0.21</f>
        <v>63</v>
      </c>
    </row>
    <row r="20" spans="1:3" x14ac:dyDescent="0.25">
      <c r="A20" s="14" t="s">
        <v>165</v>
      </c>
      <c r="B20" s="15">
        <f>B18+B19</f>
        <v>363</v>
      </c>
    </row>
  </sheetData>
  <mergeCells count="5">
    <mergeCell ref="A1:C1"/>
    <mergeCell ref="A3:C3"/>
    <mergeCell ref="A7:C7"/>
    <mergeCell ref="A14:C14"/>
    <mergeCell ref="A16:C1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9"/>
  <sheetViews>
    <sheetView zoomScaleNormal="100" workbookViewId="0">
      <selection sqref="A1:C1"/>
    </sheetView>
  </sheetViews>
  <sheetFormatPr defaultColWidth="8.5703125" defaultRowHeight="15" x14ac:dyDescent="0.25"/>
  <cols>
    <col min="1" max="1" width="28" customWidth="1"/>
    <col min="2" max="2" width="55" customWidth="1"/>
    <col min="3" max="3" width="45" customWidth="1"/>
  </cols>
  <sheetData>
    <row r="1" spans="1:3" ht="16.5" x14ac:dyDescent="0.25">
      <c r="A1" s="30" t="s">
        <v>166</v>
      </c>
      <c r="B1" s="30"/>
      <c r="C1" s="30"/>
    </row>
    <row r="3" spans="1:3" x14ac:dyDescent="0.25">
      <c r="A3" s="3" t="s">
        <v>167</v>
      </c>
      <c r="B3" s="3" t="s">
        <v>152</v>
      </c>
      <c r="C3" s="3" t="s">
        <v>168</v>
      </c>
    </row>
    <row r="4" spans="1:3" x14ac:dyDescent="0.25">
      <c r="A4" s="10" t="s">
        <v>169</v>
      </c>
      <c r="B4" s="10" t="s">
        <v>170</v>
      </c>
      <c r="C4" s="29" t="s">
        <v>171</v>
      </c>
    </row>
    <row r="5" spans="1:3" x14ac:dyDescent="0.25">
      <c r="A5" s="10" t="s">
        <v>172</v>
      </c>
      <c r="B5" s="10" t="s">
        <v>173</v>
      </c>
      <c r="C5" s="29" t="s">
        <v>174</v>
      </c>
    </row>
    <row r="6" spans="1:3" x14ac:dyDescent="0.25">
      <c r="A6" s="10" t="s">
        <v>175</v>
      </c>
      <c r="B6" s="10" t="s">
        <v>176</v>
      </c>
      <c r="C6" s="29" t="s">
        <v>177</v>
      </c>
    </row>
    <row r="7" spans="1:3" x14ac:dyDescent="0.25">
      <c r="A7" s="10" t="s">
        <v>178</v>
      </c>
      <c r="B7" s="10" t="s">
        <v>179</v>
      </c>
      <c r="C7" s="29" t="s">
        <v>180</v>
      </c>
    </row>
    <row r="8" spans="1:3" x14ac:dyDescent="0.25">
      <c r="A8" s="10" t="s">
        <v>181</v>
      </c>
      <c r="B8" s="10" t="s">
        <v>182</v>
      </c>
      <c r="C8" s="29" t="s">
        <v>183</v>
      </c>
    </row>
    <row r="9" spans="1:3" x14ac:dyDescent="0.25">
      <c r="A9" s="10" t="s">
        <v>184</v>
      </c>
      <c r="B9" s="10" t="s">
        <v>185</v>
      </c>
      <c r="C9" s="29" t="s">
        <v>186</v>
      </c>
    </row>
    <row r="10" spans="1:3" x14ac:dyDescent="0.25">
      <c r="A10" s="10" t="s">
        <v>187</v>
      </c>
      <c r="B10" s="10" t="s">
        <v>188</v>
      </c>
      <c r="C10" s="29" t="s">
        <v>189</v>
      </c>
    </row>
    <row r="11" spans="1:3" x14ac:dyDescent="0.25">
      <c r="A11" s="10" t="s">
        <v>190</v>
      </c>
      <c r="B11" s="10" t="s">
        <v>191</v>
      </c>
      <c r="C11" s="29" t="s">
        <v>192</v>
      </c>
    </row>
    <row r="12" spans="1:3" x14ac:dyDescent="0.25">
      <c r="A12" s="10" t="s">
        <v>193</v>
      </c>
      <c r="B12" s="10" t="s">
        <v>194</v>
      </c>
      <c r="C12" s="29" t="s">
        <v>195</v>
      </c>
    </row>
    <row r="13" spans="1:3" x14ac:dyDescent="0.25">
      <c r="A13" s="10" t="s">
        <v>196</v>
      </c>
      <c r="B13" s="10" t="s">
        <v>197</v>
      </c>
      <c r="C13" s="29" t="s">
        <v>198</v>
      </c>
    </row>
    <row r="14" spans="1:3" x14ac:dyDescent="0.25">
      <c r="A14" s="10" t="s">
        <v>199</v>
      </c>
      <c r="B14" s="10" t="s">
        <v>200</v>
      </c>
      <c r="C14" s="29" t="s">
        <v>201</v>
      </c>
    </row>
    <row r="15" spans="1:3" x14ac:dyDescent="0.25">
      <c r="A15" s="10" t="s">
        <v>202</v>
      </c>
      <c r="B15" s="10" t="s">
        <v>203</v>
      </c>
      <c r="C15" s="24" t="s">
        <v>131</v>
      </c>
    </row>
    <row r="16" spans="1:3" x14ac:dyDescent="0.25">
      <c r="A16" s="10" t="s">
        <v>204</v>
      </c>
      <c r="B16" s="10" t="s">
        <v>205</v>
      </c>
      <c r="C16" s="29" t="s">
        <v>206</v>
      </c>
    </row>
    <row r="17" spans="1:3" x14ac:dyDescent="0.25">
      <c r="A17" s="10" t="s">
        <v>207</v>
      </c>
      <c r="B17" s="10" t="s">
        <v>208</v>
      </c>
      <c r="C17" s="29" t="s">
        <v>209</v>
      </c>
    </row>
    <row r="18" spans="1:3" x14ac:dyDescent="0.25">
      <c r="A18" s="10" t="s">
        <v>210</v>
      </c>
      <c r="B18" s="10" t="s">
        <v>211</v>
      </c>
      <c r="C18" s="29" t="s">
        <v>212</v>
      </c>
    </row>
    <row r="19" spans="1:3" x14ac:dyDescent="0.25">
      <c r="A19" s="10" t="s">
        <v>213</v>
      </c>
      <c r="B19" s="10" t="s">
        <v>214</v>
      </c>
      <c r="C19" s="24" t="s">
        <v>131</v>
      </c>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Resumen</vt:lpstr>
      <vt:lpstr>Simulador</vt:lpstr>
      <vt:lpstr>1_Matriculacion</vt:lpstr>
      <vt:lpstr>2_ITV_Homologacion</vt:lpstr>
      <vt:lpstr>3_Placas_Transferencia</vt:lpstr>
      <vt:lpstr>4_Transporte</vt:lpstr>
      <vt:lpstr>Fuentes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Ana Picazo Haase</cp:lastModifiedBy>
  <cp:revision>0</cp:revision>
  <dcterms:created xsi:type="dcterms:W3CDTF">2026-09-01T06:57:10Z</dcterms:created>
  <dcterms:modified xsi:type="dcterms:W3CDTF">2026-09-01T08:01:55Z</dcterms:modified>
  <dc:language>en-US</dc:language>
</cp:coreProperties>
</file>